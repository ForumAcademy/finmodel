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busrv\MTO\ТКК\DPRM\99. EPC\Тех заказчики\30. Новые участки\46. Саева _калькуляторы 21.09.2026 (5 очередей)\Для Арбузова\"/>
    </mc:Choice>
  </mc:AlternateContent>
  <bookViews>
    <workbookView xWindow="0" yWindow="0" windowWidth="30720" windowHeight="13515" activeTab="1"/>
  </bookViews>
  <sheets>
    <sheet name="ТЭПы" sheetId="11" r:id="rId1"/>
    <sheet name="Бюджет " sheetId="12" r:id="rId2"/>
    <sheet name="CF1 " sheetId="1" r:id="rId3"/>
    <sheet name="План продаж" sheetId="9" r:id="rId4"/>
    <sheet name="Эскроу" sheetId="10" r:id="rId5"/>
    <sheet name="Dashboard" sheetId="4" r:id="rId6"/>
  </sheets>
  <externalReferences>
    <externalReference r:id="rId7"/>
  </externalReferences>
  <definedNames>
    <definedName name="Development_fee">[1]Инвестиции!$D$28</definedName>
    <definedName name="Непредвиденные">[1]Инвестиции!$D$35</definedName>
    <definedName name="_xlnm.Print_Area" localSheetId="5">Dashboard!$A$1:$C$47</definedName>
    <definedName name="Технический_заказчик">[1]Инвестиции!$D$30</definedName>
    <definedName name="Управление_базовое">[1]Инвестиции!$D$34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2" l="1"/>
  <c r="F55" i="12"/>
  <c r="M55" i="12"/>
  <c r="C45" i="12"/>
  <c r="G84" i="1" l="1"/>
  <c r="H84" i="1"/>
  <c r="I84" i="1"/>
  <c r="J84" i="1"/>
  <c r="C84" i="1" s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F84" i="1"/>
  <c r="AH44" i="9"/>
  <c r="AI44" i="9"/>
  <c r="AJ44" i="9"/>
  <c r="AB81" i="1"/>
  <c r="AI92" i="1"/>
  <c r="AJ92" i="1"/>
  <c r="AK92" i="1"/>
  <c r="AL92" i="1"/>
  <c r="AC24" i="1"/>
  <c r="AD24" i="1"/>
  <c r="AE24" i="1"/>
  <c r="AF24" i="1"/>
  <c r="AG24" i="1"/>
  <c r="AH24" i="1"/>
  <c r="B84" i="1"/>
  <c r="C44" i="1"/>
  <c r="H43" i="1"/>
  <c r="F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G24" i="1"/>
  <c r="F51" i="12"/>
  <c r="D47" i="12"/>
  <c r="E47" i="12"/>
  <c r="D39" i="12"/>
  <c r="E39" i="12"/>
  <c r="E41" i="12"/>
  <c r="D40" i="12"/>
  <c r="E40" i="12"/>
  <c r="E24" i="12"/>
  <c r="D38" i="12"/>
  <c r="E38" i="12"/>
  <c r="D35" i="12"/>
  <c r="E36" i="12"/>
  <c r="D36" i="12" s="1"/>
  <c r="E35" i="12"/>
  <c r="F36" i="12"/>
  <c r="F35" i="12"/>
  <c r="E31" i="12"/>
  <c r="D31" i="12" s="1"/>
  <c r="E32" i="12"/>
  <c r="D32" i="12" s="1"/>
  <c r="E26" i="12"/>
  <c r="D26" i="12" s="1"/>
  <c r="E21" i="12"/>
  <c r="D21" i="12" s="1"/>
  <c r="E18" i="12"/>
  <c r="D18" i="12" s="1"/>
  <c r="AB2" i="10"/>
  <c r="AA2" i="10"/>
  <c r="Z2" i="10"/>
  <c r="Y2" i="10"/>
  <c r="X2" i="10"/>
  <c r="I1" i="10"/>
  <c r="D70" i="9"/>
  <c r="F4" i="9"/>
  <c r="G4" i="9"/>
  <c r="H4" i="9"/>
  <c r="J4" i="9"/>
  <c r="K4" i="9"/>
  <c r="N4" i="9"/>
  <c r="O4" i="9"/>
  <c r="P4" i="9"/>
  <c r="Q4" i="9"/>
  <c r="R4" i="9"/>
  <c r="S4" i="9"/>
  <c r="V4" i="9"/>
  <c r="W4" i="9"/>
  <c r="X4" i="9"/>
  <c r="AA4" i="9"/>
  <c r="AB4" i="9"/>
  <c r="AC4" i="9"/>
  <c r="AD4" i="9"/>
  <c r="AE4" i="9"/>
  <c r="AF4" i="9"/>
  <c r="AG4" i="9"/>
  <c r="E4" i="9"/>
  <c r="D22" i="9"/>
  <c r="D21" i="9"/>
  <c r="E43" i="11"/>
  <c r="E42" i="11"/>
  <c r="E41" i="11"/>
  <c r="C26" i="11"/>
  <c r="C23" i="11"/>
  <c r="C20" i="11"/>
  <c r="C24" i="1" l="1"/>
  <c r="D42" i="12" l="1"/>
  <c r="D34" i="12"/>
  <c r="D33" i="12"/>
  <c r="D24" i="12" l="1"/>
  <c r="E22" i="12"/>
  <c r="AL9" i="10" l="1"/>
  <c r="AL10" i="10"/>
  <c r="AL11" i="10"/>
  <c r="AL12" i="10"/>
  <c r="AL13" i="10"/>
  <c r="F30" i="9" l="1"/>
  <c r="D28" i="9"/>
  <c r="H49" i="11"/>
  <c r="C9" i="12" l="1"/>
  <c r="AT136" i="1" l="1"/>
  <c r="C57" i="12"/>
  <c r="A32" i="4"/>
  <c r="A31" i="4"/>
  <c r="A30" i="4"/>
  <c r="A29" i="4"/>
  <c r="A28" i="4"/>
  <c r="C5" i="4" l="1"/>
  <c r="C7" i="4"/>
  <c r="B7" i="4"/>
  <c r="C6" i="4"/>
  <c r="C3" i="4"/>
  <c r="C2" i="4"/>
  <c r="C16" i="4"/>
  <c r="C14" i="4"/>
  <c r="C11" i="4"/>
  <c r="AM101" i="1" l="1"/>
  <c r="AN101" i="1"/>
  <c r="AO101" i="1"/>
  <c r="AP101" i="1"/>
  <c r="AQ101" i="1"/>
  <c r="AR101" i="1"/>
  <c r="AS101" i="1"/>
  <c r="AT102" i="1"/>
  <c r="AN60" i="9"/>
  <c r="AO60" i="9"/>
  <c r="AN59" i="9"/>
  <c r="AO59" i="9"/>
  <c r="F22" i="12"/>
  <c r="B24" i="1"/>
  <c r="C22" i="12"/>
  <c r="C21" i="12"/>
  <c r="B20" i="12"/>
  <c r="C17" i="12"/>
  <c r="F29" i="12"/>
  <c r="B38" i="1" s="1"/>
  <c r="H38" i="1" s="1"/>
  <c r="F25" i="12"/>
  <c r="B30" i="1" s="1"/>
  <c r="Q30" i="1" s="1"/>
  <c r="F27" i="12"/>
  <c r="B34" i="1" s="1"/>
  <c r="C29" i="12"/>
  <c r="C28" i="12"/>
  <c r="C27" i="12"/>
  <c r="C26" i="12"/>
  <c r="C25" i="12"/>
  <c r="C24" i="12"/>
  <c r="B67" i="1"/>
  <c r="G67" i="1" s="1"/>
  <c r="F46" i="12"/>
  <c r="B69" i="1" s="1"/>
  <c r="J69" i="1" s="1"/>
  <c r="F44" i="12"/>
  <c r="B65" i="1" s="1"/>
  <c r="P65" i="1" s="1"/>
  <c r="B57" i="1"/>
  <c r="Q57" i="1" s="1"/>
  <c r="C49" i="12"/>
  <c r="C48" i="12"/>
  <c r="C47" i="12"/>
  <c r="C44" i="12"/>
  <c r="C43" i="12"/>
  <c r="C42" i="12"/>
  <c r="C41" i="12"/>
  <c r="C40" i="12"/>
  <c r="C39" i="12"/>
  <c r="C37" i="12"/>
  <c r="C36" i="12"/>
  <c r="C35" i="12"/>
  <c r="C34" i="12"/>
  <c r="C33" i="12"/>
  <c r="C32" i="12"/>
  <c r="C31" i="12"/>
  <c r="B51" i="1"/>
  <c r="G51" i="1" s="1"/>
  <c r="B55" i="1"/>
  <c r="P55" i="1" s="1"/>
  <c r="F77" i="1"/>
  <c r="G77" i="1"/>
  <c r="H77" i="1"/>
  <c r="I77" i="1"/>
  <c r="J77" i="1"/>
  <c r="K77" i="1"/>
  <c r="L77" i="1"/>
  <c r="AO78" i="1"/>
  <c r="AP78" i="1"/>
  <c r="AQ78" i="1"/>
  <c r="AR78" i="1"/>
  <c r="AS78" i="1"/>
  <c r="B25" i="1" l="1"/>
  <c r="AC25" i="1" s="1"/>
  <c r="F17" i="12"/>
  <c r="F20" i="12"/>
  <c r="L34" i="1"/>
  <c r="F34" i="1"/>
  <c r="AS34" i="1"/>
  <c r="AI34" i="1"/>
  <c r="I34" i="1"/>
  <c r="AB30" i="1"/>
  <c r="P30" i="1"/>
  <c r="AH34" i="1"/>
  <c r="AP25" i="1"/>
  <c r="V34" i="1"/>
  <c r="AO25" i="1"/>
  <c r="U34" i="1"/>
  <c r="AD25" i="1"/>
  <c r="M34" i="1"/>
  <c r="K34" i="1"/>
  <c r="AQ38" i="1"/>
  <c r="J34" i="1"/>
  <c r="AE38" i="1"/>
  <c r="S38" i="1"/>
  <c r="G38" i="1"/>
  <c r="B23" i="1"/>
  <c r="AK25" i="1"/>
  <c r="Y25" i="1"/>
  <c r="M25" i="1"/>
  <c r="AN30" i="1"/>
  <c r="AK34" i="1"/>
  <c r="AJ25" i="1"/>
  <c r="X25" i="1"/>
  <c r="L25" i="1"/>
  <c r="W25" i="1"/>
  <c r="K25" i="1"/>
  <c r="AI25" i="1"/>
  <c r="F25" i="1"/>
  <c r="F23" i="1" s="1"/>
  <c r="AH25" i="1"/>
  <c r="V25" i="1"/>
  <c r="J25" i="1"/>
  <c r="AG34" i="1"/>
  <c r="AS25" i="1"/>
  <c r="AG25" i="1"/>
  <c r="U25" i="1"/>
  <c r="I25" i="1"/>
  <c r="I23" i="1" s="1"/>
  <c r="Y34" i="1"/>
  <c r="AR25" i="1"/>
  <c r="AF25" i="1"/>
  <c r="T25" i="1"/>
  <c r="H25" i="1"/>
  <c r="H23" i="1" s="1"/>
  <c r="W34" i="1"/>
  <c r="AQ25" i="1"/>
  <c r="AE25" i="1"/>
  <c r="S25" i="1"/>
  <c r="G25" i="1"/>
  <c r="G23" i="1" s="1"/>
  <c r="R25" i="1"/>
  <c r="Q25" i="1"/>
  <c r="AN25" i="1"/>
  <c r="AB25" i="1"/>
  <c r="P25" i="1"/>
  <c r="AM25" i="1"/>
  <c r="AA25" i="1"/>
  <c r="O25" i="1"/>
  <c r="AL25" i="1"/>
  <c r="Z25" i="1"/>
  <c r="N25" i="1"/>
  <c r="AP38" i="1"/>
  <c r="AD38" i="1"/>
  <c r="R38" i="1"/>
  <c r="AO38" i="1"/>
  <c r="AC38" i="1"/>
  <c r="Q38" i="1"/>
  <c r="AN38" i="1"/>
  <c r="AB38" i="1"/>
  <c r="P38" i="1"/>
  <c r="AR34" i="1"/>
  <c r="AF34" i="1"/>
  <c r="T34" i="1"/>
  <c r="H34" i="1"/>
  <c r="AM38" i="1"/>
  <c r="AA38" i="1"/>
  <c r="O38" i="1"/>
  <c r="AQ34" i="1"/>
  <c r="AE34" i="1"/>
  <c r="S34" i="1"/>
  <c r="G34" i="1"/>
  <c r="AL38" i="1"/>
  <c r="Z38" i="1"/>
  <c r="N38" i="1"/>
  <c r="AP34" i="1"/>
  <c r="AD34" i="1"/>
  <c r="R34" i="1"/>
  <c r="AK38" i="1"/>
  <c r="Y38" i="1"/>
  <c r="M38" i="1"/>
  <c r="AO34" i="1"/>
  <c r="AC34" i="1"/>
  <c r="Q34" i="1"/>
  <c r="AJ38" i="1"/>
  <c r="X38" i="1"/>
  <c r="L38" i="1"/>
  <c r="AN34" i="1"/>
  <c r="AB34" i="1"/>
  <c r="P34" i="1"/>
  <c r="AI38" i="1"/>
  <c r="W38" i="1"/>
  <c r="K38" i="1"/>
  <c r="AM34" i="1"/>
  <c r="AA34" i="1"/>
  <c r="O34" i="1"/>
  <c r="F38" i="1"/>
  <c r="AH38" i="1"/>
  <c r="V38" i="1"/>
  <c r="J38" i="1"/>
  <c r="AL34" i="1"/>
  <c r="Z34" i="1"/>
  <c r="N34" i="1"/>
  <c r="AS38" i="1"/>
  <c r="AG38" i="1"/>
  <c r="U38" i="1"/>
  <c r="I38" i="1"/>
  <c r="AR38" i="1"/>
  <c r="AF38" i="1"/>
  <c r="T38" i="1"/>
  <c r="AJ34" i="1"/>
  <c r="X34" i="1"/>
  <c r="AK30" i="1"/>
  <c r="Y30" i="1"/>
  <c r="AJ30" i="1"/>
  <c r="X30" i="1"/>
  <c r="L30" i="1"/>
  <c r="O30" i="1"/>
  <c r="AL30" i="1"/>
  <c r="Z30" i="1"/>
  <c r="N30" i="1"/>
  <c r="AI30" i="1"/>
  <c r="W30" i="1"/>
  <c r="K30" i="1"/>
  <c r="F30" i="1"/>
  <c r="AH30" i="1"/>
  <c r="V30" i="1"/>
  <c r="J30" i="1"/>
  <c r="AS30" i="1"/>
  <c r="I30" i="1"/>
  <c r="AF30" i="1"/>
  <c r="AQ30" i="1"/>
  <c r="AE30" i="1"/>
  <c r="S30" i="1"/>
  <c r="G30" i="1"/>
  <c r="AA30" i="1"/>
  <c r="AG30" i="1"/>
  <c r="T30" i="1"/>
  <c r="AP30" i="1"/>
  <c r="AD30" i="1"/>
  <c r="R30" i="1"/>
  <c r="AM30" i="1"/>
  <c r="U30" i="1"/>
  <c r="AR30" i="1"/>
  <c r="H30" i="1"/>
  <c r="AO30" i="1"/>
  <c r="AC30" i="1"/>
  <c r="AO57" i="1"/>
  <c r="AP67" i="1"/>
  <c r="R67" i="1"/>
  <c r="AM55" i="1"/>
  <c r="AS69" i="1"/>
  <c r="AA55" i="1"/>
  <c r="AG69" i="1"/>
  <c r="O55" i="1"/>
  <c r="U69" i="1"/>
  <c r="I69" i="1"/>
  <c r="AC57" i="1"/>
  <c r="P57" i="1"/>
  <c r="AM65" i="1"/>
  <c r="AA65" i="1"/>
  <c r="F65" i="1"/>
  <c r="O65" i="1"/>
  <c r="AP51" i="1"/>
  <c r="AD51" i="1"/>
  <c r="AD67" i="1"/>
  <c r="R51" i="1"/>
  <c r="F67" i="1"/>
  <c r="AL55" i="1"/>
  <c r="Z55" i="1"/>
  <c r="N55" i="1"/>
  <c r="AN57" i="1"/>
  <c r="AB57" i="1"/>
  <c r="O57" i="1"/>
  <c r="AL65" i="1"/>
  <c r="Z65" i="1"/>
  <c r="N65" i="1"/>
  <c r="AO67" i="1"/>
  <c r="AC67" i="1"/>
  <c r="Q67" i="1"/>
  <c r="AR69" i="1"/>
  <c r="AF69" i="1"/>
  <c r="T69" i="1"/>
  <c r="H69" i="1"/>
  <c r="AO51" i="1"/>
  <c r="AC51" i="1"/>
  <c r="Q51" i="1"/>
  <c r="F69" i="1"/>
  <c r="AK55" i="1"/>
  <c r="Y55" i="1"/>
  <c r="M55" i="1"/>
  <c r="AM57" i="1"/>
  <c r="AA57" i="1"/>
  <c r="N57" i="1"/>
  <c r="AK65" i="1"/>
  <c r="Y65" i="1"/>
  <c r="M65" i="1"/>
  <c r="AN67" i="1"/>
  <c r="AB67" i="1"/>
  <c r="P67" i="1"/>
  <c r="AQ69" i="1"/>
  <c r="AE69" i="1"/>
  <c r="S69" i="1"/>
  <c r="G69" i="1"/>
  <c r="AN51" i="1"/>
  <c r="AB51" i="1"/>
  <c r="P51" i="1"/>
  <c r="F57" i="1"/>
  <c r="AJ55" i="1"/>
  <c r="X55" i="1"/>
  <c r="L55" i="1"/>
  <c r="AL57" i="1"/>
  <c r="Y57" i="1"/>
  <c r="M57" i="1"/>
  <c r="AJ65" i="1"/>
  <c r="X65" i="1"/>
  <c r="L65" i="1"/>
  <c r="AM67" i="1"/>
  <c r="AA67" i="1"/>
  <c r="O67" i="1"/>
  <c r="AP69" i="1"/>
  <c r="AD69" i="1"/>
  <c r="R69" i="1"/>
  <c r="AM51" i="1"/>
  <c r="AA51" i="1"/>
  <c r="O51" i="1"/>
  <c r="G55" i="1"/>
  <c r="AI55" i="1"/>
  <c r="W55" i="1"/>
  <c r="K55" i="1"/>
  <c r="AK57" i="1"/>
  <c r="X57" i="1"/>
  <c r="L57" i="1"/>
  <c r="AI65" i="1"/>
  <c r="W65" i="1"/>
  <c r="K65" i="1"/>
  <c r="AL67" i="1"/>
  <c r="Z67" i="1"/>
  <c r="N67" i="1"/>
  <c r="AO69" i="1"/>
  <c r="AC69" i="1"/>
  <c r="Q69" i="1"/>
  <c r="AL51" i="1"/>
  <c r="Z51" i="1"/>
  <c r="N51" i="1"/>
  <c r="F55" i="1"/>
  <c r="AH55" i="1"/>
  <c r="V55" i="1"/>
  <c r="J55" i="1"/>
  <c r="AJ57" i="1"/>
  <c r="W57" i="1"/>
  <c r="K57" i="1"/>
  <c r="AH65" i="1"/>
  <c r="V65" i="1"/>
  <c r="J65" i="1"/>
  <c r="AK67" i="1"/>
  <c r="Y67" i="1"/>
  <c r="M67" i="1"/>
  <c r="AN69" i="1"/>
  <c r="AB69" i="1"/>
  <c r="P69" i="1"/>
  <c r="AK51" i="1"/>
  <c r="Y51" i="1"/>
  <c r="M51" i="1"/>
  <c r="AS55" i="1"/>
  <c r="AG55" i="1"/>
  <c r="U55" i="1"/>
  <c r="I55" i="1"/>
  <c r="AI57" i="1"/>
  <c r="V57" i="1"/>
  <c r="J57" i="1"/>
  <c r="AS65" i="1"/>
  <c r="AG65" i="1"/>
  <c r="U65" i="1"/>
  <c r="I65" i="1"/>
  <c r="AJ67" i="1"/>
  <c r="X67" i="1"/>
  <c r="L67" i="1"/>
  <c r="AM69" i="1"/>
  <c r="AA69" i="1"/>
  <c r="O69" i="1"/>
  <c r="AJ51" i="1"/>
  <c r="X51" i="1"/>
  <c r="L51" i="1"/>
  <c r="AR55" i="1"/>
  <c r="AF55" i="1"/>
  <c r="T55" i="1"/>
  <c r="H55" i="1"/>
  <c r="AH57" i="1"/>
  <c r="U57" i="1"/>
  <c r="I57" i="1"/>
  <c r="AR65" i="1"/>
  <c r="AF65" i="1"/>
  <c r="T65" i="1"/>
  <c r="H65" i="1"/>
  <c r="AI67" i="1"/>
  <c r="W67" i="1"/>
  <c r="K67" i="1"/>
  <c r="AL69" i="1"/>
  <c r="Z69" i="1"/>
  <c r="N69" i="1"/>
  <c r="Z57" i="1"/>
  <c r="AI51" i="1"/>
  <c r="W51" i="1"/>
  <c r="K51" i="1"/>
  <c r="AQ55" i="1"/>
  <c r="AE55" i="1"/>
  <c r="S55" i="1"/>
  <c r="AS57" i="1"/>
  <c r="AG57" i="1"/>
  <c r="T57" i="1"/>
  <c r="H57" i="1"/>
  <c r="AQ65" i="1"/>
  <c r="AE65" i="1"/>
  <c r="S65" i="1"/>
  <c r="G65" i="1"/>
  <c r="AH67" i="1"/>
  <c r="V67" i="1"/>
  <c r="J67" i="1"/>
  <c r="AK69" i="1"/>
  <c r="Y69" i="1"/>
  <c r="M69" i="1"/>
  <c r="F51" i="1"/>
  <c r="AH51" i="1"/>
  <c r="V51" i="1"/>
  <c r="J51" i="1"/>
  <c r="AP55" i="1"/>
  <c r="AD55" i="1"/>
  <c r="R55" i="1"/>
  <c r="AR57" i="1"/>
  <c r="AF57" i="1"/>
  <c r="S57" i="1"/>
  <c r="G57" i="1"/>
  <c r="AP65" i="1"/>
  <c r="AD65" i="1"/>
  <c r="R65" i="1"/>
  <c r="AS67" i="1"/>
  <c r="AG67" i="1"/>
  <c r="U67" i="1"/>
  <c r="I67" i="1"/>
  <c r="AJ69" i="1"/>
  <c r="X69" i="1"/>
  <c r="L69" i="1"/>
  <c r="AS51" i="1"/>
  <c r="AG51" i="1"/>
  <c r="U51" i="1"/>
  <c r="I51" i="1"/>
  <c r="AO55" i="1"/>
  <c r="AC55" i="1"/>
  <c r="Q55" i="1"/>
  <c r="AQ57" i="1"/>
  <c r="AE57" i="1"/>
  <c r="R57" i="1"/>
  <c r="AO65" i="1"/>
  <c r="AC65" i="1"/>
  <c r="Q65" i="1"/>
  <c r="AR67" i="1"/>
  <c r="AF67" i="1"/>
  <c r="T67" i="1"/>
  <c r="H67" i="1"/>
  <c r="AI69" i="1"/>
  <c r="W69" i="1"/>
  <c r="K69" i="1"/>
  <c r="AR51" i="1"/>
  <c r="AF51" i="1"/>
  <c r="T51" i="1"/>
  <c r="H51" i="1"/>
  <c r="AN55" i="1"/>
  <c r="AB55" i="1"/>
  <c r="AP57" i="1"/>
  <c r="AD57" i="1"/>
  <c r="AN65" i="1"/>
  <c r="AB65" i="1"/>
  <c r="AQ67" i="1"/>
  <c r="AE67" i="1"/>
  <c r="S67" i="1"/>
  <c r="AH69" i="1"/>
  <c r="V69" i="1"/>
  <c r="AQ51" i="1"/>
  <c r="AE51" i="1"/>
  <c r="S51" i="1"/>
  <c r="E19" i="12" l="1"/>
  <c r="F16" i="12"/>
  <c r="J23" i="1"/>
  <c r="C69" i="1"/>
  <c r="C57" i="1"/>
  <c r="C67" i="1"/>
  <c r="C65" i="1"/>
  <c r="C17" i="9"/>
  <c r="C52" i="9" s="1"/>
  <c r="C10" i="12" s="1"/>
  <c r="G30" i="9"/>
  <c r="H30" i="9" s="1"/>
  <c r="I30" i="9" s="1"/>
  <c r="J30" i="9" s="1"/>
  <c r="K30" i="9" s="1"/>
  <c r="L30" i="9" s="1"/>
  <c r="M30" i="9" s="1"/>
  <c r="N30" i="9" s="1"/>
  <c r="O30" i="9" s="1"/>
  <c r="P30" i="9" s="1"/>
  <c r="Q30" i="9" s="1"/>
  <c r="R30" i="9" s="1"/>
  <c r="S30" i="9" s="1"/>
  <c r="T30" i="9" s="1"/>
  <c r="U30" i="9" s="1"/>
  <c r="V30" i="9" s="1"/>
  <c r="W30" i="9" s="1"/>
  <c r="X30" i="9" s="1"/>
  <c r="Y30" i="9" s="1"/>
  <c r="Z30" i="9" s="1"/>
  <c r="AA30" i="9" s="1"/>
  <c r="AB30" i="9" s="1"/>
  <c r="AC30" i="9" s="1"/>
  <c r="AD30" i="9" s="1"/>
  <c r="AE30" i="9" s="1"/>
  <c r="AF30" i="9" s="1"/>
  <c r="AG30" i="9" s="1"/>
  <c r="AH30" i="9" s="1"/>
  <c r="AI30" i="9" s="1"/>
  <c r="AJ30" i="9" s="1"/>
  <c r="AK30" i="9" s="1"/>
  <c r="AL30" i="9" s="1"/>
  <c r="AM30" i="9" s="1"/>
  <c r="F50" i="9"/>
  <c r="G50" i="9" s="1"/>
  <c r="H50" i="9" s="1"/>
  <c r="I50" i="9" s="1"/>
  <c r="J50" i="9" s="1"/>
  <c r="K50" i="9" s="1"/>
  <c r="L50" i="9" s="1"/>
  <c r="M50" i="9" s="1"/>
  <c r="N50" i="9" s="1"/>
  <c r="O50" i="9" s="1"/>
  <c r="P50" i="9" s="1"/>
  <c r="Q50" i="9" s="1"/>
  <c r="R50" i="9" s="1"/>
  <c r="S50" i="9" s="1"/>
  <c r="T50" i="9" s="1"/>
  <c r="U50" i="9" s="1"/>
  <c r="V50" i="9" s="1"/>
  <c r="W50" i="9" s="1"/>
  <c r="X50" i="9" s="1"/>
  <c r="Y50" i="9" s="1"/>
  <c r="Z50" i="9" s="1"/>
  <c r="AA50" i="9" s="1"/>
  <c r="AB50" i="9" s="1"/>
  <c r="AC50" i="9" s="1"/>
  <c r="AD50" i="9" s="1"/>
  <c r="AE50" i="9" s="1"/>
  <c r="AF50" i="9" s="1"/>
  <c r="AG50" i="9" s="1"/>
  <c r="AH50" i="9" s="1"/>
  <c r="AI50" i="9" s="1"/>
  <c r="AJ50" i="9" s="1"/>
  <c r="AK50" i="9" s="1"/>
  <c r="AL50" i="9" s="1"/>
  <c r="AM50" i="9" s="1"/>
  <c r="F55" i="9"/>
  <c r="G55" i="9" s="1"/>
  <c r="H55" i="9" s="1"/>
  <c r="I55" i="9" s="1"/>
  <c r="J55" i="9" s="1"/>
  <c r="K55" i="9" s="1"/>
  <c r="L55" i="9" s="1"/>
  <c r="M55" i="9" s="1"/>
  <c r="N55" i="9" s="1"/>
  <c r="O55" i="9" s="1"/>
  <c r="P55" i="9" s="1"/>
  <c r="Q55" i="9" s="1"/>
  <c r="R55" i="9" s="1"/>
  <c r="S55" i="9" s="1"/>
  <c r="T55" i="9" s="1"/>
  <c r="F45" i="9"/>
  <c r="G45" i="9" s="1"/>
  <c r="H45" i="9" s="1"/>
  <c r="I45" i="9" s="1"/>
  <c r="J45" i="9" s="1"/>
  <c r="K45" i="9" s="1"/>
  <c r="L45" i="9" s="1"/>
  <c r="M45" i="9" s="1"/>
  <c r="N45" i="9" s="1"/>
  <c r="O45" i="9" s="1"/>
  <c r="P45" i="9" s="1"/>
  <c r="Q45" i="9" s="1"/>
  <c r="R45" i="9" s="1"/>
  <c r="S45" i="9" s="1"/>
  <c r="T45" i="9" s="1"/>
  <c r="U45" i="9" s="1"/>
  <c r="V45" i="9" s="1"/>
  <c r="W45" i="9" s="1"/>
  <c r="X45" i="9" s="1"/>
  <c r="Y45" i="9" s="1"/>
  <c r="Z45" i="9" s="1"/>
  <c r="AA45" i="9" s="1"/>
  <c r="AB45" i="9" s="1"/>
  <c r="AC45" i="9" s="1"/>
  <c r="AD45" i="9" s="1"/>
  <c r="AE45" i="9" s="1"/>
  <c r="AF45" i="9" s="1"/>
  <c r="AG45" i="9" s="1"/>
  <c r="AH45" i="9" s="1"/>
  <c r="AI45" i="9" s="1"/>
  <c r="AJ45" i="9" s="1"/>
  <c r="AK45" i="9" s="1"/>
  <c r="AL45" i="9" s="1"/>
  <c r="AM45" i="9" s="1"/>
  <c r="F40" i="9"/>
  <c r="G40" i="9" s="1"/>
  <c r="H40" i="9" s="1"/>
  <c r="I40" i="9" s="1"/>
  <c r="J40" i="9" s="1"/>
  <c r="K40" i="9" s="1"/>
  <c r="L40" i="9" s="1"/>
  <c r="M40" i="9" s="1"/>
  <c r="N40" i="9" s="1"/>
  <c r="O40" i="9" s="1"/>
  <c r="P40" i="9" s="1"/>
  <c r="Q40" i="9" s="1"/>
  <c r="R40" i="9" s="1"/>
  <c r="S40" i="9" s="1"/>
  <c r="T40" i="9" s="1"/>
  <c r="U40" i="9" s="1"/>
  <c r="V40" i="9" s="1"/>
  <c r="W40" i="9" s="1"/>
  <c r="X40" i="9" s="1"/>
  <c r="Y40" i="9" s="1"/>
  <c r="Z40" i="9" s="1"/>
  <c r="AA40" i="9" s="1"/>
  <c r="AB40" i="9" s="1"/>
  <c r="AC40" i="9" s="1"/>
  <c r="AD40" i="9" s="1"/>
  <c r="AE40" i="9" s="1"/>
  <c r="AF40" i="9" s="1"/>
  <c r="AG40" i="9" s="1"/>
  <c r="AH40" i="9" s="1"/>
  <c r="AI40" i="9" s="1"/>
  <c r="AJ40" i="9" s="1"/>
  <c r="AK40" i="9" s="1"/>
  <c r="AL40" i="9" s="1"/>
  <c r="AM40" i="9" s="1"/>
  <c r="F35" i="9"/>
  <c r="G35" i="9" s="1"/>
  <c r="H35" i="9" s="1"/>
  <c r="I35" i="9" s="1"/>
  <c r="J35" i="9" s="1"/>
  <c r="K35" i="9" s="1"/>
  <c r="L35" i="9" s="1"/>
  <c r="M35" i="9" s="1"/>
  <c r="N35" i="9" s="1"/>
  <c r="O35" i="9" s="1"/>
  <c r="P35" i="9" s="1"/>
  <c r="Q35" i="9" s="1"/>
  <c r="R35" i="9" s="1"/>
  <c r="S35" i="9" s="1"/>
  <c r="T35" i="9" s="1"/>
  <c r="U35" i="9" s="1"/>
  <c r="V35" i="9" s="1"/>
  <c r="W35" i="9" s="1"/>
  <c r="X35" i="9" s="1"/>
  <c r="Y35" i="9" s="1"/>
  <c r="Z35" i="9" s="1"/>
  <c r="AA35" i="9" s="1"/>
  <c r="AB35" i="9" s="1"/>
  <c r="AC35" i="9" s="1"/>
  <c r="AD35" i="9" s="1"/>
  <c r="AE35" i="9" s="1"/>
  <c r="AF35" i="9" s="1"/>
  <c r="AG35" i="9" s="1"/>
  <c r="AH35" i="9" s="1"/>
  <c r="AI35" i="9" s="1"/>
  <c r="AJ35" i="9" s="1"/>
  <c r="AK35" i="9" s="1"/>
  <c r="AL35" i="9" s="1"/>
  <c r="AM35" i="9" s="1"/>
  <c r="D30" i="9" l="1"/>
  <c r="B28" i="1"/>
  <c r="AG28" i="1" s="1"/>
  <c r="D45" i="9"/>
  <c r="D40" i="9"/>
  <c r="D35" i="9"/>
  <c r="D55" i="9"/>
  <c r="D50" i="9"/>
  <c r="F28" i="12"/>
  <c r="B36" i="1" s="1"/>
  <c r="V28" i="1" l="1"/>
  <c r="Q28" i="1"/>
  <c r="M28" i="1"/>
  <c r="X28" i="1"/>
  <c r="AJ28" i="1"/>
  <c r="L28" i="1"/>
  <c r="AA28" i="1"/>
  <c r="O28" i="1"/>
  <c r="AI28" i="1"/>
  <c r="AR28" i="1"/>
  <c r="AK28" i="1"/>
  <c r="J28" i="1"/>
  <c r="AM28" i="1"/>
  <c r="AF28" i="1"/>
  <c r="AH28" i="1"/>
  <c r="AB28" i="1"/>
  <c r="AS28" i="1"/>
  <c r="U28" i="1"/>
  <c r="T28" i="1"/>
  <c r="AN28" i="1"/>
  <c r="I28" i="1"/>
  <c r="AD28" i="1"/>
  <c r="W28" i="1"/>
  <c r="AL28" i="1"/>
  <c r="AO28" i="1"/>
  <c r="Z28" i="1"/>
  <c r="G28" i="1"/>
  <c r="H28" i="1"/>
  <c r="Y28" i="1"/>
  <c r="P28" i="1"/>
  <c r="S28" i="1"/>
  <c r="AQ28" i="1"/>
  <c r="AP28" i="1"/>
  <c r="AE28" i="1"/>
  <c r="R28" i="1"/>
  <c r="K28" i="1"/>
  <c r="AC28" i="1"/>
  <c r="N28" i="1"/>
  <c r="F28" i="1"/>
  <c r="P36" i="1"/>
  <c r="V36" i="1"/>
  <c r="N36" i="1"/>
  <c r="AI36" i="1"/>
  <c r="J36" i="1"/>
  <c r="AA36" i="1"/>
  <c r="AM36" i="1"/>
  <c r="W36" i="1"/>
  <c r="M36" i="1"/>
  <c r="AL36" i="1"/>
  <c r="AJ36" i="1"/>
  <c r="K36" i="1"/>
  <c r="AP36" i="1"/>
  <c r="AN36" i="1"/>
  <c r="G36" i="1"/>
  <c r="AO36" i="1"/>
  <c r="X36" i="1"/>
  <c r="AQ36" i="1"/>
  <c r="AD36" i="1"/>
  <c r="AB36" i="1"/>
  <c r="O36" i="1"/>
  <c r="Q36" i="1"/>
  <c r="AK36" i="1"/>
  <c r="L36" i="1"/>
  <c r="AE36" i="1"/>
  <c r="R36" i="1"/>
  <c r="AF36" i="1"/>
  <c r="AC36" i="1"/>
  <c r="Z36" i="1"/>
  <c r="Y36" i="1"/>
  <c r="AR36" i="1"/>
  <c r="S36" i="1"/>
  <c r="AS36" i="1"/>
  <c r="T36" i="1"/>
  <c r="AG36" i="1"/>
  <c r="H36" i="1"/>
  <c r="AH36" i="1"/>
  <c r="F36" i="1"/>
  <c r="U36" i="1"/>
  <c r="I36" i="1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D32" i="11"/>
  <c r="E17" i="12"/>
  <c r="D17" i="12" s="1"/>
  <c r="B41" i="1"/>
  <c r="I41" i="1" s="1"/>
  <c r="B49" i="1"/>
  <c r="F23" i="12" l="1"/>
  <c r="R49" i="1"/>
  <c r="Q49" i="1"/>
  <c r="AO49" i="1"/>
  <c r="AA49" i="1"/>
  <c r="AH49" i="1"/>
  <c r="AQ49" i="1"/>
  <c r="O49" i="1"/>
  <c r="V49" i="1"/>
  <c r="AE49" i="1"/>
  <c r="AJ49" i="1"/>
  <c r="J49" i="1"/>
  <c r="S49" i="1"/>
  <c r="AK49" i="1"/>
  <c r="K49" i="1"/>
  <c r="X49" i="1"/>
  <c r="AR49" i="1"/>
  <c r="G49" i="1"/>
  <c r="AC49" i="1"/>
  <c r="AL49" i="1"/>
  <c r="L49" i="1"/>
  <c r="AF49" i="1"/>
  <c r="Z49" i="1"/>
  <c r="T49" i="1"/>
  <c r="AN49" i="1"/>
  <c r="N49" i="1"/>
  <c r="H49" i="1"/>
  <c r="AP49" i="1"/>
  <c r="AB49" i="1"/>
  <c r="AI49" i="1"/>
  <c r="AS49" i="1"/>
  <c r="AD49" i="1"/>
  <c r="U49" i="1"/>
  <c r="P49" i="1"/>
  <c r="W49" i="1"/>
  <c r="AG49" i="1"/>
  <c r="AM49" i="1"/>
  <c r="Y49" i="1"/>
  <c r="I49" i="1"/>
  <c r="M49" i="1"/>
  <c r="F49" i="1"/>
  <c r="J41" i="1"/>
  <c r="AS41" i="1"/>
  <c r="AP41" i="1"/>
  <c r="AB41" i="1"/>
  <c r="AJ41" i="1"/>
  <c r="W41" i="1"/>
  <c r="H41" i="1"/>
  <c r="AD41" i="1"/>
  <c r="P41" i="1"/>
  <c r="X41" i="1"/>
  <c r="AG41" i="1"/>
  <c r="AR41" i="1"/>
  <c r="R41" i="1"/>
  <c r="L41" i="1"/>
  <c r="AF41" i="1"/>
  <c r="F41" i="1"/>
  <c r="T41" i="1"/>
  <c r="AM41" i="1"/>
  <c r="AK41" i="1"/>
  <c r="AH41" i="1"/>
  <c r="U41" i="1"/>
  <c r="AA41" i="1"/>
  <c r="Y41" i="1"/>
  <c r="V41" i="1"/>
  <c r="AO41" i="1"/>
  <c r="O41" i="1"/>
  <c r="M41" i="1"/>
  <c r="S41" i="1"/>
  <c r="AQ41" i="1"/>
  <c r="AC41" i="1"/>
  <c r="G41" i="1"/>
  <c r="AE41" i="1"/>
  <c r="Q41" i="1"/>
  <c r="AI41" i="1"/>
  <c r="AL41" i="1"/>
  <c r="Z41" i="1"/>
  <c r="K41" i="1"/>
  <c r="AN41" i="1"/>
  <c r="N41" i="1"/>
  <c r="B21" i="1"/>
  <c r="R74" i="1"/>
  <c r="D10" i="1"/>
  <c r="B32" i="1" l="1"/>
  <c r="B27" i="1" s="1"/>
  <c r="R21" i="1"/>
  <c r="AD21" i="1"/>
  <c r="AP21" i="1"/>
  <c r="G21" i="1"/>
  <c r="S21" i="1"/>
  <c r="AE21" i="1"/>
  <c r="AQ21" i="1"/>
  <c r="H21" i="1"/>
  <c r="T21" i="1"/>
  <c r="AF21" i="1"/>
  <c r="AR21" i="1"/>
  <c r="I21" i="1"/>
  <c r="U21" i="1"/>
  <c r="AG21" i="1"/>
  <c r="AS21" i="1"/>
  <c r="B20" i="1"/>
  <c r="J21" i="1"/>
  <c r="V21" i="1"/>
  <c r="AH21" i="1"/>
  <c r="F21" i="1"/>
  <c r="K21" i="1"/>
  <c r="W21" i="1"/>
  <c r="AI21" i="1"/>
  <c r="L21" i="1"/>
  <c r="X21" i="1"/>
  <c r="AJ21" i="1"/>
  <c r="M21" i="1"/>
  <c r="Y21" i="1"/>
  <c r="AK21" i="1"/>
  <c r="N21" i="1"/>
  <c r="Z21" i="1"/>
  <c r="AL21" i="1"/>
  <c r="O21" i="1"/>
  <c r="AA21" i="1"/>
  <c r="AM21" i="1"/>
  <c r="P21" i="1"/>
  <c r="AB21" i="1"/>
  <c r="AN21" i="1"/>
  <c r="Q21" i="1"/>
  <c r="AC21" i="1"/>
  <c r="AO21" i="1"/>
  <c r="D6" i="1"/>
  <c r="D5" i="1"/>
  <c r="D4" i="1"/>
  <c r="U1" i="10"/>
  <c r="V1" i="10"/>
  <c r="W1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J2" i="10"/>
  <c r="I2" i="10"/>
  <c r="B7" i="9"/>
  <c r="C7" i="9"/>
  <c r="D7" i="9"/>
  <c r="E7" i="9"/>
  <c r="F7" i="9"/>
  <c r="G7" i="9"/>
  <c r="H7" i="9"/>
  <c r="I7" i="9"/>
  <c r="J7" i="9"/>
  <c r="K7" i="9"/>
  <c r="B8" i="9"/>
  <c r="C8" i="9"/>
  <c r="C27" i="9" s="1"/>
  <c r="C5" i="12" s="1"/>
  <c r="D8" i="9"/>
  <c r="E8" i="9"/>
  <c r="B27" i="9" s="1"/>
  <c r="H8" i="9"/>
  <c r="J8" i="9"/>
  <c r="B9" i="9"/>
  <c r="C9" i="9"/>
  <c r="C32" i="9" s="1"/>
  <c r="C6" i="12" s="1"/>
  <c r="D9" i="9"/>
  <c r="E9" i="9"/>
  <c r="B32" i="9" s="1"/>
  <c r="H9" i="9"/>
  <c r="B36" i="9" s="1"/>
  <c r="E36" i="9" s="1"/>
  <c r="J9" i="9"/>
  <c r="B10" i="9"/>
  <c r="C10" i="9"/>
  <c r="C37" i="9" s="1"/>
  <c r="C7" i="12" s="1"/>
  <c r="D10" i="9"/>
  <c r="E10" i="9"/>
  <c r="B37" i="9" s="1"/>
  <c r="H10" i="9"/>
  <c r="J10" i="9"/>
  <c r="B11" i="9"/>
  <c r="C11" i="9"/>
  <c r="D11" i="9"/>
  <c r="B14" i="9"/>
  <c r="C14" i="9"/>
  <c r="D14" i="9"/>
  <c r="E14" i="9"/>
  <c r="F14" i="9"/>
  <c r="G14" i="9"/>
  <c r="H14" i="9"/>
  <c r="I14" i="9"/>
  <c r="J14" i="9"/>
  <c r="K14" i="9"/>
  <c r="B15" i="9"/>
  <c r="C15" i="9"/>
  <c r="C42" i="9" s="1"/>
  <c r="C8" i="12" s="1"/>
  <c r="D15" i="9"/>
  <c r="E15" i="9"/>
  <c r="H15" i="9"/>
  <c r="B46" i="9" s="1"/>
  <c r="E46" i="9" s="1"/>
  <c r="J15" i="9"/>
  <c r="K15" i="9"/>
  <c r="B16" i="9"/>
  <c r="C16" i="9"/>
  <c r="D16" i="9"/>
  <c r="E16" i="9"/>
  <c r="H16" i="9"/>
  <c r="B51" i="9" s="1"/>
  <c r="E51" i="9" s="1"/>
  <c r="J16" i="9"/>
  <c r="K16" i="9"/>
  <c r="B17" i="9"/>
  <c r="D17" i="9"/>
  <c r="E17" i="9"/>
  <c r="F17" i="9"/>
  <c r="B54" i="9" s="1"/>
  <c r="G17" i="9"/>
  <c r="B53" i="9" s="1"/>
  <c r="H17" i="9"/>
  <c r="B56" i="9" s="1"/>
  <c r="E56" i="9" s="1"/>
  <c r="D56" i="9" s="1"/>
  <c r="D10" i="12" s="1"/>
  <c r="J17" i="9"/>
  <c r="K17" i="9"/>
  <c r="B18" i="9"/>
  <c r="C18" i="9"/>
  <c r="D18" i="9"/>
  <c r="E18" i="9"/>
  <c r="I18" i="9"/>
  <c r="J18" i="9"/>
  <c r="K18" i="9"/>
  <c r="C5" i="9"/>
  <c r="G51" i="11"/>
  <c r="H18" i="9" s="1"/>
  <c r="I16" i="9"/>
  <c r="H50" i="11"/>
  <c r="I17" i="9" s="1"/>
  <c r="G10" i="12" s="1"/>
  <c r="H48" i="11"/>
  <c r="I15" i="9" s="1"/>
  <c r="G8" i="12" s="1"/>
  <c r="G44" i="11"/>
  <c r="C21" i="4" s="1"/>
  <c r="H42" i="11"/>
  <c r="I9" i="9" s="1"/>
  <c r="G6" i="12" s="1"/>
  <c r="H43" i="11"/>
  <c r="I10" i="9" s="1"/>
  <c r="G7" i="12" s="1"/>
  <c r="H41" i="11"/>
  <c r="C29" i="11"/>
  <c r="J42" i="11"/>
  <c r="K9" i="9" s="1"/>
  <c r="J43" i="11"/>
  <c r="K10" i="9" s="1"/>
  <c r="I44" i="11"/>
  <c r="D27" i="11" s="1"/>
  <c r="D22" i="11"/>
  <c r="D20" i="11"/>
  <c r="E6" i="10"/>
  <c r="F6" i="10"/>
  <c r="G6" i="10"/>
  <c r="H6" i="10"/>
  <c r="E7" i="10"/>
  <c r="F7" i="10"/>
  <c r="G7" i="10"/>
  <c r="H7" i="10"/>
  <c r="D7" i="10"/>
  <c r="D6" i="10"/>
  <c r="D33" i="10" s="1"/>
  <c r="F5" i="10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D53" i="9"/>
  <c r="D43" i="9"/>
  <c r="D38" i="9"/>
  <c r="D33" i="9"/>
  <c r="D54" i="9"/>
  <c r="E10" i="12" s="1"/>
  <c r="L3" i="9" l="1"/>
  <c r="I3" i="9"/>
  <c r="D3" i="9" s="1"/>
  <c r="B42" i="9"/>
  <c r="G71" i="9"/>
  <c r="K71" i="9"/>
  <c r="O71" i="9"/>
  <c r="S71" i="9"/>
  <c r="W71" i="9"/>
  <c r="AA71" i="9"/>
  <c r="AE71" i="9"/>
  <c r="AI71" i="9"/>
  <c r="AM71" i="9"/>
  <c r="J71" i="9"/>
  <c r="V71" i="9"/>
  <c r="AD71" i="9"/>
  <c r="H71" i="9"/>
  <c r="L71" i="9"/>
  <c r="P71" i="9"/>
  <c r="T71" i="9"/>
  <c r="X71" i="9"/>
  <c r="AB71" i="9"/>
  <c r="AF71" i="9"/>
  <c r="AJ71" i="9"/>
  <c r="F71" i="9"/>
  <c r="R71" i="9"/>
  <c r="AH71" i="9"/>
  <c r="E71" i="9"/>
  <c r="I71" i="9"/>
  <c r="M71" i="9"/>
  <c r="Q71" i="9"/>
  <c r="U71" i="9"/>
  <c r="Y71" i="9"/>
  <c r="AC71" i="9"/>
  <c r="AG71" i="9"/>
  <c r="AK71" i="9"/>
  <c r="N71" i="9"/>
  <c r="Z71" i="9"/>
  <c r="AL71" i="9"/>
  <c r="D71" i="9"/>
  <c r="M1" i="9"/>
  <c r="M4" i="9" s="1"/>
  <c r="Z1" i="9"/>
  <c r="Z4" i="9" s="1"/>
  <c r="T1" i="9"/>
  <c r="T4" i="9" s="1"/>
  <c r="L1" i="9"/>
  <c r="I1" i="9"/>
  <c r="U1" i="9"/>
  <c r="U4" i="9" s="1"/>
  <c r="Y1" i="9"/>
  <c r="Y4" i="9" s="1"/>
  <c r="I2" i="9"/>
  <c r="L2" i="9"/>
  <c r="E52" i="9"/>
  <c r="H33" i="10"/>
  <c r="G33" i="10"/>
  <c r="F33" i="10"/>
  <c r="E33" i="10"/>
  <c r="D9" i="12"/>
  <c r="G9" i="12"/>
  <c r="B41" i="9"/>
  <c r="E41" i="9" s="1"/>
  <c r="F41" i="9" s="1"/>
  <c r="B31" i="9"/>
  <c r="E31" i="9" s="1"/>
  <c r="F32" i="1"/>
  <c r="F27" i="1" s="1"/>
  <c r="S32" i="1"/>
  <c r="M32" i="1"/>
  <c r="G32" i="1"/>
  <c r="G27" i="1" s="1"/>
  <c r="AH32" i="1"/>
  <c r="AP32" i="1"/>
  <c r="AM32" i="1"/>
  <c r="AE32" i="1"/>
  <c r="V32" i="1"/>
  <c r="AD32" i="1"/>
  <c r="AA32" i="1"/>
  <c r="AK32" i="1"/>
  <c r="I32" i="1"/>
  <c r="I27" i="1" s="1"/>
  <c r="Q32" i="1"/>
  <c r="N32" i="1"/>
  <c r="AO32" i="1"/>
  <c r="L32" i="1"/>
  <c r="AG32" i="1"/>
  <c r="AC32" i="1"/>
  <c r="Y32" i="1"/>
  <c r="AJ32" i="1"/>
  <c r="U32" i="1"/>
  <c r="P32" i="1"/>
  <c r="H32" i="1"/>
  <c r="H27" i="1" s="1"/>
  <c r="AS32" i="1"/>
  <c r="R32" i="1"/>
  <c r="X32" i="1"/>
  <c r="AR32" i="1"/>
  <c r="Z32" i="1"/>
  <c r="AL32" i="1"/>
  <c r="AF32" i="1"/>
  <c r="AI32" i="1"/>
  <c r="T32" i="1"/>
  <c r="AB32" i="1"/>
  <c r="J32" i="1"/>
  <c r="J27" i="1" s="1"/>
  <c r="K32" i="1"/>
  <c r="AN32" i="1"/>
  <c r="W32" i="1"/>
  <c r="AQ32" i="1"/>
  <c r="O32" i="1"/>
  <c r="C31" i="11"/>
  <c r="E37" i="12"/>
  <c r="D37" i="12" s="1"/>
  <c r="I8" i="9"/>
  <c r="G5" i="12" s="1"/>
  <c r="H44" i="11"/>
  <c r="I11" i="9" s="1"/>
  <c r="H34" i="9"/>
  <c r="T34" i="9"/>
  <c r="AF34" i="9"/>
  <c r="AK34" i="9"/>
  <c r="U34" i="9"/>
  <c r="AG34" i="9"/>
  <c r="Y34" i="9"/>
  <c r="AE34" i="9"/>
  <c r="V34" i="9"/>
  <c r="AH34" i="9"/>
  <c r="W34" i="9"/>
  <c r="AI34" i="9"/>
  <c r="X34" i="9"/>
  <c r="AJ34" i="9"/>
  <c r="Z34" i="9"/>
  <c r="AL34" i="9"/>
  <c r="AA34" i="9"/>
  <c r="AM34" i="9"/>
  <c r="AD34" i="9"/>
  <c r="AB34" i="9"/>
  <c r="AC34" i="9"/>
  <c r="AE39" i="9"/>
  <c r="T39" i="9"/>
  <c r="AF39" i="9"/>
  <c r="U39" i="9"/>
  <c r="AG39" i="9"/>
  <c r="X39" i="9"/>
  <c r="V39" i="9"/>
  <c r="AH39" i="9"/>
  <c r="AJ39" i="9"/>
  <c r="AD39" i="9"/>
  <c r="W39" i="9"/>
  <c r="AI39" i="9"/>
  <c r="Y39" i="9"/>
  <c r="AK39" i="9"/>
  <c r="AC39" i="9"/>
  <c r="Z39" i="9"/>
  <c r="AL39" i="9"/>
  <c r="AA39" i="9"/>
  <c r="AM39" i="9"/>
  <c r="AB39" i="9"/>
  <c r="E29" i="9"/>
  <c r="U29" i="9"/>
  <c r="AG29" i="9"/>
  <c r="T29" i="9"/>
  <c r="V29" i="9"/>
  <c r="AH29" i="9"/>
  <c r="W29" i="9"/>
  <c r="AI29" i="9"/>
  <c r="Z29" i="9"/>
  <c r="X29" i="9"/>
  <c r="AJ29" i="9"/>
  <c r="AL29" i="9"/>
  <c r="Y29" i="9"/>
  <c r="Y59" i="9" s="1"/>
  <c r="AK29" i="9"/>
  <c r="AA29" i="9"/>
  <c r="AM29" i="9"/>
  <c r="AE29" i="9"/>
  <c r="AB29" i="9"/>
  <c r="AC29" i="9"/>
  <c r="AD29" i="9"/>
  <c r="AD59" i="9" s="1"/>
  <c r="AF29" i="9"/>
  <c r="G8" i="9"/>
  <c r="E44" i="11"/>
  <c r="F8" i="9"/>
  <c r="B29" i="9" s="1"/>
  <c r="G9" i="9"/>
  <c r="B33" i="9" s="1"/>
  <c r="J11" i="9"/>
  <c r="F9" i="9"/>
  <c r="G10" i="9"/>
  <c r="H11" i="9"/>
  <c r="F10" i="9"/>
  <c r="D21" i="11"/>
  <c r="D52" i="9"/>
  <c r="F10" i="12" s="1"/>
  <c r="I29" i="9"/>
  <c r="I59" i="9" s="1"/>
  <c r="H29" i="9"/>
  <c r="P29" i="9"/>
  <c r="K29" i="9"/>
  <c r="L29" i="9"/>
  <c r="S29" i="9"/>
  <c r="G39" i="9"/>
  <c r="F39" i="9"/>
  <c r="N39" i="9"/>
  <c r="R39" i="9"/>
  <c r="J39" i="9"/>
  <c r="C33" i="11"/>
  <c r="D33" i="11" s="1"/>
  <c r="J41" i="11"/>
  <c r="K8" i="9" s="1"/>
  <c r="C30" i="11"/>
  <c r="C32" i="11"/>
  <c r="E5" i="10"/>
  <c r="D5" i="10"/>
  <c r="H5" i="10"/>
  <c r="G5" i="10"/>
  <c r="K34" i="9"/>
  <c r="O34" i="9"/>
  <c r="G34" i="9"/>
  <c r="O29" i="9"/>
  <c r="G29" i="9"/>
  <c r="G59" i="9" s="1"/>
  <c r="N34" i="9"/>
  <c r="F34" i="9"/>
  <c r="M39" i="9"/>
  <c r="N29" i="9"/>
  <c r="N59" i="9" s="1"/>
  <c r="F29" i="9"/>
  <c r="M34" i="9"/>
  <c r="E39" i="9"/>
  <c r="L39" i="9"/>
  <c r="M29" i="9"/>
  <c r="E34" i="9"/>
  <c r="E32" i="9" s="1"/>
  <c r="L34" i="9"/>
  <c r="S39" i="9"/>
  <c r="K39" i="9"/>
  <c r="S34" i="9"/>
  <c r="R34" i="9"/>
  <c r="J34" i="9"/>
  <c r="Q39" i="9"/>
  <c r="I39" i="9"/>
  <c r="R29" i="9"/>
  <c r="R59" i="9" s="1"/>
  <c r="J29" i="9"/>
  <c r="J59" i="9" s="1"/>
  <c r="Q34" i="9"/>
  <c r="I34" i="9"/>
  <c r="P39" i="9"/>
  <c r="H39" i="9"/>
  <c r="Q29" i="9"/>
  <c r="Q59" i="9" s="1"/>
  <c r="P34" i="9"/>
  <c r="O39" i="9"/>
  <c r="F36" i="9"/>
  <c r="F46" i="9"/>
  <c r="A64" i="4"/>
  <c r="A62" i="4"/>
  <c r="A63" i="4"/>
  <c r="A61" i="4"/>
  <c r="AF59" i="9" l="1"/>
  <c r="AE59" i="9"/>
  <c r="Z59" i="9"/>
  <c r="V59" i="9"/>
  <c r="R44" i="9"/>
  <c r="S44" i="9"/>
  <c r="T44" i="9"/>
  <c r="O59" i="9"/>
  <c r="L59" i="9"/>
  <c r="D2" i="9"/>
  <c r="L4" i="9"/>
  <c r="F44" i="9"/>
  <c r="J44" i="9"/>
  <c r="N44" i="9"/>
  <c r="U44" i="9"/>
  <c r="Y44" i="9"/>
  <c r="AC44" i="9"/>
  <c r="AG44" i="9"/>
  <c r="E44" i="9"/>
  <c r="Q44" i="9"/>
  <c r="AF44" i="9"/>
  <c r="G44" i="9"/>
  <c r="K44" i="9"/>
  <c r="O44" i="9"/>
  <c r="V44" i="9"/>
  <c r="Z44" i="9"/>
  <c r="AD44" i="9"/>
  <c r="AK44" i="9"/>
  <c r="I44" i="9"/>
  <c r="X44" i="9"/>
  <c r="AM44" i="9"/>
  <c r="H44" i="9"/>
  <c r="L44" i="9"/>
  <c r="P44" i="9"/>
  <c r="W44" i="9"/>
  <c r="AA44" i="9"/>
  <c r="AE44" i="9"/>
  <c r="AL44" i="9"/>
  <c r="M44" i="9"/>
  <c r="AB44" i="9"/>
  <c r="D1" i="9"/>
  <c r="I4" i="9"/>
  <c r="D4" i="9" s="1"/>
  <c r="K59" i="9"/>
  <c r="T59" i="9"/>
  <c r="P59" i="9"/>
  <c r="AC59" i="9"/>
  <c r="AA59" i="9"/>
  <c r="W59" i="9"/>
  <c r="AG59" i="9"/>
  <c r="M59" i="9"/>
  <c r="F59" i="9"/>
  <c r="S59" i="9"/>
  <c r="H59" i="9"/>
  <c r="AB59" i="9"/>
  <c r="X59" i="9"/>
  <c r="U59" i="9"/>
  <c r="E37" i="9"/>
  <c r="F11" i="9"/>
  <c r="D44" i="11"/>
  <c r="E11" i="9" s="1"/>
  <c r="D29" i="9"/>
  <c r="D11" i="1"/>
  <c r="B71" i="1"/>
  <c r="E42" i="12"/>
  <c r="B43" i="1"/>
  <c r="B59" i="1"/>
  <c r="B28" i="9"/>
  <c r="L8" i="9"/>
  <c r="D34" i="9"/>
  <c r="E6" i="12" s="1"/>
  <c r="AK59" i="9"/>
  <c r="E59" i="9"/>
  <c r="F31" i="9"/>
  <c r="G31" i="9" s="1"/>
  <c r="G27" i="9" s="1"/>
  <c r="E58" i="9"/>
  <c r="K102" i="1" s="1"/>
  <c r="AL59" i="9"/>
  <c r="AM59" i="9"/>
  <c r="AJ59" i="9"/>
  <c r="AI59" i="9"/>
  <c r="AH59" i="9"/>
  <c r="B53" i="1"/>
  <c r="G11" i="9"/>
  <c r="E27" i="9"/>
  <c r="E48" i="11"/>
  <c r="C15" i="4" s="1"/>
  <c r="E5" i="12"/>
  <c r="D39" i="9"/>
  <c r="E7" i="12" s="1"/>
  <c r="G41" i="9"/>
  <c r="F37" i="9"/>
  <c r="F32" i="9"/>
  <c r="G36" i="9"/>
  <c r="G46" i="9"/>
  <c r="F42" i="9"/>
  <c r="D44" i="9" l="1"/>
  <c r="E8" i="12" s="1"/>
  <c r="E42" i="9"/>
  <c r="K11" i="9"/>
  <c r="F49" i="11"/>
  <c r="V43" i="1"/>
  <c r="AR43" i="1"/>
  <c r="R43" i="1"/>
  <c r="AH43" i="1"/>
  <c r="P43" i="1"/>
  <c r="K43" i="1"/>
  <c r="J43" i="1"/>
  <c r="AE43" i="1"/>
  <c r="S43" i="1"/>
  <c r="N43" i="1"/>
  <c r="X43" i="1"/>
  <c r="AJ43" i="1"/>
  <c r="AA43" i="1"/>
  <c r="O43" i="1"/>
  <c r="F43" i="1"/>
  <c r="AD43" i="1"/>
  <c r="AI43" i="1"/>
  <c r="M43" i="1"/>
  <c r="AO43" i="1"/>
  <c r="Z43" i="1"/>
  <c r="I43" i="1"/>
  <c r="Y43" i="1"/>
  <c r="W43" i="1"/>
  <c r="Q43" i="1"/>
  <c r="AM43" i="1"/>
  <c r="L43" i="1"/>
  <c r="T43" i="1"/>
  <c r="AF43" i="1"/>
  <c r="AB43" i="1"/>
  <c r="AQ43" i="1"/>
  <c r="AP43" i="1"/>
  <c r="AS43" i="1"/>
  <c r="AL43" i="1"/>
  <c r="AG43" i="1"/>
  <c r="AK43" i="1"/>
  <c r="U43" i="1"/>
  <c r="G43" i="1"/>
  <c r="AC43" i="1"/>
  <c r="AN43" i="1"/>
  <c r="M71" i="1"/>
  <c r="AI71" i="1"/>
  <c r="V71" i="1"/>
  <c r="U71" i="1"/>
  <c r="H71" i="1"/>
  <c r="AQ71" i="1"/>
  <c r="AP71" i="1"/>
  <c r="AC71" i="1"/>
  <c r="AB71" i="1"/>
  <c r="AA71" i="1"/>
  <c r="N71" i="1"/>
  <c r="AK71" i="1"/>
  <c r="AJ71" i="1"/>
  <c r="L71" i="1"/>
  <c r="AH71" i="1"/>
  <c r="AG71" i="1"/>
  <c r="T71" i="1"/>
  <c r="G71" i="1"/>
  <c r="AO71" i="1"/>
  <c r="AN71" i="1"/>
  <c r="AM71" i="1"/>
  <c r="Z71" i="1"/>
  <c r="X71" i="1"/>
  <c r="W71" i="1"/>
  <c r="J71" i="1"/>
  <c r="F71" i="1"/>
  <c r="I71" i="1"/>
  <c r="AR71" i="1"/>
  <c r="AE71" i="1"/>
  <c r="AD71" i="1"/>
  <c r="Q71" i="1"/>
  <c r="P71" i="1"/>
  <c r="O71" i="1"/>
  <c r="Y71" i="1"/>
  <c r="K71" i="1"/>
  <c r="AS71" i="1"/>
  <c r="AF71" i="1"/>
  <c r="S71" i="1"/>
  <c r="R71" i="1"/>
  <c r="AL71" i="1"/>
  <c r="AG59" i="1"/>
  <c r="J59" i="1"/>
  <c r="W59" i="1"/>
  <c r="AJ59" i="1"/>
  <c r="H59" i="1"/>
  <c r="T59" i="1"/>
  <c r="AF59" i="1"/>
  <c r="Q59" i="1"/>
  <c r="AD59" i="1"/>
  <c r="AE59" i="1"/>
  <c r="AS59" i="1"/>
  <c r="V59" i="1"/>
  <c r="AI59" i="1"/>
  <c r="M59" i="1"/>
  <c r="N59" i="1"/>
  <c r="P59" i="1"/>
  <c r="AC59" i="1"/>
  <c r="AP59" i="1"/>
  <c r="AQ59" i="1"/>
  <c r="O59" i="1"/>
  <c r="I59" i="1"/>
  <c r="F59" i="1"/>
  <c r="AH59" i="1"/>
  <c r="L59" i="1"/>
  <c r="Y59" i="1"/>
  <c r="Z59" i="1"/>
  <c r="AA59" i="1"/>
  <c r="AB59" i="1"/>
  <c r="AO59" i="1"/>
  <c r="G59" i="1"/>
  <c r="U59" i="1"/>
  <c r="AR59" i="1"/>
  <c r="K59" i="1"/>
  <c r="X59" i="1"/>
  <c r="AK59" i="1"/>
  <c r="AL59" i="1"/>
  <c r="AM59" i="1"/>
  <c r="AN59" i="1"/>
  <c r="R59" i="1"/>
  <c r="S59" i="1"/>
  <c r="D26" i="9"/>
  <c r="H31" i="9"/>
  <c r="I31" i="9" s="1"/>
  <c r="D67" i="9"/>
  <c r="C25" i="4" s="1"/>
  <c r="F58" i="9"/>
  <c r="L102" i="1" s="1"/>
  <c r="F27" i="9"/>
  <c r="G58" i="9"/>
  <c r="M102" i="1" s="1"/>
  <c r="I53" i="1"/>
  <c r="U53" i="1"/>
  <c r="AG53" i="1"/>
  <c r="AS53" i="1"/>
  <c r="T53" i="1"/>
  <c r="J53" i="1"/>
  <c r="V53" i="1"/>
  <c r="AH53" i="1"/>
  <c r="K53" i="1"/>
  <c r="W53" i="1"/>
  <c r="AI53" i="1"/>
  <c r="AR53" i="1"/>
  <c r="L53" i="1"/>
  <c r="X53" i="1"/>
  <c r="AJ53" i="1"/>
  <c r="M53" i="1"/>
  <c r="Y53" i="1"/>
  <c r="AK53" i="1"/>
  <c r="AF53" i="1"/>
  <c r="N53" i="1"/>
  <c r="Z53" i="1"/>
  <c r="AL53" i="1"/>
  <c r="O53" i="1"/>
  <c r="AA53" i="1"/>
  <c r="AM53" i="1"/>
  <c r="H53" i="1"/>
  <c r="P53" i="1"/>
  <c r="AB53" i="1"/>
  <c r="AN53" i="1"/>
  <c r="Q53" i="1"/>
  <c r="AC53" i="1"/>
  <c r="AO53" i="1"/>
  <c r="F53" i="1"/>
  <c r="R53" i="1"/>
  <c r="AD53" i="1"/>
  <c r="AP53" i="1"/>
  <c r="G53" i="1"/>
  <c r="S53" i="1"/>
  <c r="AE53" i="1"/>
  <c r="AQ53" i="1"/>
  <c r="D26" i="11"/>
  <c r="F34" i="12"/>
  <c r="D28" i="11"/>
  <c r="F48" i="11"/>
  <c r="G15" i="9" s="1"/>
  <c r="F15" i="9"/>
  <c r="B44" i="9" s="1"/>
  <c r="H41" i="9"/>
  <c r="G37" i="9"/>
  <c r="H36" i="9"/>
  <c r="G32" i="9"/>
  <c r="H46" i="9"/>
  <c r="G42" i="9"/>
  <c r="M31" i="1"/>
  <c r="M30" i="1" s="1"/>
  <c r="H27" i="9" l="1"/>
  <c r="C59" i="1"/>
  <c r="C71" i="1"/>
  <c r="H58" i="9"/>
  <c r="N102" i="1" s="1"/>
  <c r="E49" i="11"/>
  <c r="E51" i="11" s="1"/>
  <c r="F18" i="9" s="1"/>
  <c r="C17" i="4"/>
  <c r="B47" i="1"/>
  <c r="F47" i="1" s="1"/>
  <c r="C53" i="1"/>
  <c r="G16" i="9"/>
  <c r="F51" i="11"/>
  <c r="I41" i="9"/>
  <c r="H37" i="9"/>
  <c r="I36" i="9"/>
  <c r="H32" i="9"/>
  <c r="J31" i="9"/>
  <c r="I27" i="9"/>
  <c r="I46" i="9"/>
  <c r="H42" i="9"/>
  <c r="I58" i="9" l="1"/>
  <c r="O102" i="1" s="1"/>
  <c r="C34" i="11"/>
  <c r="F33" i="12" s="1"/>
  <c r="E38" i="11"/>
  <c r="C13" i="4" s="1"/>
  <c r="F16" i="9"/>
  <c r="B49" i="9" s="1"/>
  <c r="G18" i="9"/>
  <c r="F38" i="11"/>
  <c r="AJ47" i="1"/>
  <c r="AO47" i="1"/>
  <c r="T47" i="1"/>
  <c r="K47" i="1"/>
  <c r="Q47" i="1"/>
  <c r="P47" i="1"/>
  <c r="W47" i="1"/>
  <c r="AA47" i="1"/>
  <c r="AP47" i="1"/>
  <c r="AD47" i="1"/>
  <c r="AI47" i="1"/>
  <c r="AC47" i="1"/>
  <c r="AN47" i="1"/>
  <c r="AF47" i="1"/>
  <c r="AL47" i="1"/>
  <c r="M47" i="1"/>
  <c r="U47" i="1"/>
  <c r="AQ47" i="1"/>
  <c r="AB47" i="1"/>
  <c r="H47" i="1"/>
  <c r="AR47" i="1"/>
  <c r="S47" i="1"/>
  <c r="G47" i="1"/>
  <c r="AH47" i="1"/>
  <c r="AK47" i="1"/>
  <c r="AS47" i="1"/>
  <c r="R47" i="1"/>
  <c r="Z47" i="1"/>
  <c r="V47" i="1"/>
  <c r="J47" i="1"/>
  <c r="AM47" i="1"/>
  <c r="Y47" i="1"/>
  <c r="N47" i="1"/>
  <c r="I47" i="1"/>
  <c r="AE47" i="1"/>
  <c r="O47" i="1"/>
  <c r="X47" i="1"/>
  <c r="L47" i="1"/>
  <c r="AG47" i="1"/>
  <c r="B45" i="1"/>
  <c r="F42" i="12"/>
  <c r="B47" i="9"/>
  <c r="L49" i="9" s="1"/>
  <c r="J41" i="9"/>
  <c r="I37" i="9"/>
  <c r="J36" i="9"/>
  <c r="I32" i="9"/>
  <c r="K31" i="9"/>
  <c r="J27" i="9"/>
  <c r="J46" i="9"/>
  <c r="I42" i="9"/>
  <c r="J58" i="9" l="1"/>
  <c r="P102" i="1" s="1"/>
  <c r="B61" i="1"/>
  <c r="W45" i="1"/>
  <c r="AI45" i="1"/>
  <c r="H45" i="1"/>
  <c r="X45" i="1"/>
  <c r="AJ45" i="1"/>
  <c r="I45" i="1"/>
  <c r="Y45" i="1"/>
  <c r="AK45" i="1"/>
  <c r="J45" i="1"/>
  <c r="N45" i="1"/>
  <c r="Z45" i="1"/>
  <c r="AL45" i="1"/>
  <c r="K45" i="1"/>
  <c r="O45" i="1"/>
  <c r="AA45" i="1"/>
  <c r="AM45" i="1"/>
  <c r="L45" i="1"/>
  <c r="AH45" i="1"/>
  <c r="P45" i="1"/>
  <c r="AB45" i="1"/>
  <c r="AN45" i="1"/>
  <c r="M45" i="1"/>
  <c r="F45" i="1"/>
  <c r="Q45" i="1"/>
  <c r="AC45" i="1"/>
  <c r="AO45" i="1"/>
  <c r="G45" i="1"/>
  <c r="R45" i="1"/>
  <c r="AD45" i="1"/>
  <c r="AP45" i="1"/>
  <c r="S45" i="1"/>
  <c r="AE45" i="1"/>
  <c r="AQ45" i="1"/>
  <c r="T45" i="1"/>
  <c r="AF45" i="1"/>
  <c r="AR45" i="1"/>
  <c r="V45" i="1"/>
  <c r="U45" i="1"/>
  <c r="AG45" i="1"/>
  <c r="AS45" i="1"/>
  <c r="AK49" i="9"/>
  <c r="AK26" i="9" s="1"/>
  <c r="AM49" i="9"/>
  <c r="AM26" i="9" s="1"/>
  <c r="V49" i="9"/>
  <c r="V26" i="9" s="1"/>
  <c r="AD49" i="9"/>
  <c r="AD26" i="9" s="1"/>
  <c r="U49" i="9"/>
  <c r="U26" i="9" s="1"/>
  <c r="AH49" i="9"/>
  <c r="AH26" i="9" s="1"/>
  <c r="AF49" i="9"/>
  <c r="AF26" i="9" s="1"/>
  <c r="Y49" i="9"/>
  <c r="Y26" i="9" s="1"/>
  <c r="X49" i="9"/>
  <c r="X26" i="9" s="1"/>
  <c r="W49" i="9"/>
  <c r="W26" i="9" s="1"/>
  <c r="AE49" i="9"/>
  <c r="AE26" i="9" s="1"/>
  <c r="AA49" i="9"/>
  <c r="AA26" i="9" s="1"/>
  <c r="AJ49" i="9"/>
  <c r="AJ26" i="9" s="1"/>
  <c r="T49" i="9"/>
  <c r="T26" i="9" s="1"/>
  <c r="AB49" i="9"/>
  <c r="AB26" i="9" s="1"/>
  <c r="Z49" i="9"/>
  <c r="Z26" i="9" s="1"/>
  <c r="AC49" i="9"/>
  <c r="AC26" i="9" s="1"/>
  <c r="AI49" i="9"/>
  <c r="AI26" i="9" s="1"/>
  <c r="AL49" i="9"/>
  <c r="AL26" i="9" s="1"/>
  <c r="AG49" i="9"/>
  <c r="AG26" i="9" s="1"/>
  <c r="B48" i="9"/>
  <c r="J49" i="9"/>
  <c r="J26" i="9" s="1"/>
  <c r="R49" i="9"/>
  <c r="R26" i="9" s="1"/>
  <c r="K49" i="9"/>
  <c r="K26" i="9" s="1"/>
  <c r="E49" i="9"/>
  <c r="E26" i="9" s="1"/>
  <c r="P49" i="9"/>
  <c r="P26" i="9" s="1"/>
  <c r="L26" i="9"/>
  <c r="H49" i="9"/>
  <c r="H26" i="9" s="1"/>
  <c r="G49" i="9"/>
  <c r="G26" i="9" s="1"/>
  <c r="N49" i="9"/>
  <c r="N26" i="9" s="1"/>
  <c r="F49" i="9"/>
  <c r="F26" i="9" s="1"/>
  <c r="M49" i="9"/>
  <c r="M26" i="9" s="1"/>
  <c r="O49" i="9"/>
  <c r="O26" i="9" s="1"/>
  <c r="Q49" i="9"/>
  <c r="Q26" i="9" s="1"/>
  <c r="I49" i="9"/>
  <c r="I26" i="9" s="1"/>
  <c r="K41" i="9"/>
  <c r="J37" i="9"/>
  <c r="K36" i="9"/>
  <c r="J32" i="9"/>
  <c r="L31" i="9"/>
  <c r="K27" i="9"/>
  <c r="K46" i="9"/>
  <c r="J42" i="9"/>
  <c r="K58" i="9" l="1"/>
  <c r="Q102" i="1" s="1"/>
  <c r="X61" i="1"/>
  <c r="Y61" i="1"/>
  <c r="Z61" i="1"/>
  <c r="O61" i="1"/>
  <c r="P61" i="1"/>
  <c r="Q61" i="1"/>
  <c r="R61" i="1"/>
  <c r="W61" i="1"/>
  <c r="S61" i="1"/>
  <c r="T61" i="1"/>
  <c r="U61" i="1"/>
  <c r="V61" i="1"/>
  <c r="E47" i="9"/>
  <c r="E60" i="9" s="1"/>
  <c r="F51" i="9"/>
  <c r="L41" i="9"/>
  <c r="K37" i="9"/>
  <c r="L36" i="9"/>
  <c r="K32" i="9"/>
  <c r="M31" i="9"/>
  <c r="L27" i="9"/>
  <c r="L46" i="9"/>
  <c r="K42" i="9"/>
  <c r="L58" i="9" l="1"/>
  <c r="R102" i="1" s="1"/>
  <c r="E25" i="9"/>
  <c r="F15" i="1" s="1"/>
  <c r="G51" i="9"/>
  <c r="F47" i="9"/>
  <c r="F60" i="9" s="1"/>
  <c r="M41" i="9"/>
  <c r="L37" i="9"/>
  <c r="M36" i="9"/>
  <c r="L32" i="9"/>
  <c r="N31" i="9"/>
  <c r="M27" i="9"/>
  <c r="M46" i="9"/>
  <c r="L42" i="9"/>
  <c r="M58" i="9" l="1"/>
  <c r="S102" i="1" s="1"/>
  <c r="F25" i="9"/>
  <c r="F61" i="9"/>
  <c r="I4" i="10"/>
  <c r="I8" i="10" s="1"/>
  <c r="M79" i="1"/>
  <c r="M78" i="1"/>
  <c r="E61" i="9"/>
  <c r="H51" i="9"/>
  <c r="G47" i="9"/>
  <c r="G60" i="9" s="1"/>
  <c r="N41" i="9"/>
  <c r="M37" i="9"/>
  <c r="N36" i="9"/>
  <c r="M32" i="9"/>
  <c r="O31" i="9"/>
  <c r="N27" i="9"/>
  <c r="N46" i="9"/>
  <c r="M42" i="9"/>
  <c r="C54" i="1"/>
  <c r="N78" i="1" l="1"/>
  <c r="G15" i="1"/>
  <c r="J4" i="10"/>
  <c r="N58" i="9"/>
  <c r="T102" i="1" s="1"/>
  <c r="M77" i="1"/>
  <c r="I5" i="10"/>
  <c r="I7" i="10"/>
  <c r="I6" i="10"/>
  <c r="G25" i="9"/>
  <c r="N79" i="1"/>
  <c r="N77" i="1" s="1"/>
  <c r="H47" i="9"/>
  <c r="H60" i="9" s="1"/>
  <c r="I51" i="9"/>
  <c r="O41" i="9"/>
  <c r="N37" i="9"/>
  <c r="O36" i="9"/>
  <c r="N32" i="9"/>
  <c r="P31" i="9"/>
  <c r="O27" i="9"/>
  <c r="O46" i="9"/>
  <c r="N42" i="9"/>
  <c r="O78" i="1" l="1"/>
  <c r="H15" i="1"/>
  <c r="K4" i="10"/>
  <c r="J8" i="10"/>
  <c r="J6" i="10"/>
  <c r="J5" i="10"/>
  <c r="J7" i="10"/>
  <c r="I33" i="10"/>
  <c r="O58" i="9"/>
  <c r="U102" i="1" s="1"/>
  <c r="G61" i="9"/>
  <c r="O79" i="1"/>
  <c r="O77" i="1" s="1"/>
  <c r="H25" i="9"/>
  <c r="H61" i="9"/>
  <c r="J51" i="9"/>
  <c r="I47" i="9"/>
  <c r="I60" i="9" s="1"/>
  <c r="P41" i="9"/>
  <c r="O37" i="9"/>
  <c r="P36" i="9"/>
  <c r="O32" i="9"/>
  <c r="Q31" i="9"/>
  <c r="P27" i="9"/>
  <c r="P46" i="9"/>
  <c r="O42" i="9"/>
  <c r="K7" i="10" l="1"/>
  <c r="K8" i="10"/>
  <c r="K6" i="10"/>
  <c r="K33" i="10" s="1"/>
  <c r="K5" i="10"/>
  <c r="P78" i="1"/>
  <c r="I15" i="1"/>
  <c r="L4" i="10"/>
  <c r="J33" i="10"/>
  <c r="P58" i="9"/>
  <c r="V102" i="1" s="1"/>
  <c r="P79" i="1"/>
  <c r="I25" i="9"/>
  <c r="I61" i="9"/>
  <c r="K51" i="9"/>
  <c r="J47" i="9"/>
  <c r="J60" i="9" s="1"/>
  <c r="Q41" i="9"/>
  <c r="P37" i="9"/>
  <c r="Q36" i="9"/>
  <c r="P32" i="9"/>
  <c r="R31" i="9"/>
  <c r="Q27" i="9"/>
  <c r="Q46" i="9"/>
  <c r="P42" i="9"/>
  <c r="F62" i="1"/>
  <c r="F61" i="1" s="1"/>
  <c r="G62" i="1"/>
  <c r="G61" i="1" s="1"/>
  <c r="H62" i="1"/>
  <c r="H61" i="1" s="1"/>
  <c r="I62" i="1"/>
  <c r="I61" i="1" s="1"/>
  <c r="J62" i="1"/>
  <c r="J61" i="1" s="1"/>
  <c r="K62" i="1"/>
  <c r="K61" i="1" s="1"/>
  <c r="L62" i="1"/>
  <c r="L61" i="1" s="1"/>
  <c r="M62" i="1"/>
  <c r="M61" i="1" s="1"/>
  <c r="N62" i="1"/>
  <c r="N61" i="1" s="1"/>
  <c r="AA62" i="1"/>
  <c r="AA61" i="1" s="1"/>
  <c r="AB62" i="1"/>
  <c r="AB61" i="1" s="1"/>
  <c r="AC62" i="1"/>
  <c r="AC61" i="1" s="1"/>
  <c r="AD62" i="1"/>
  <c r="AD61" i="1" s="1"/>
  <c r="AE62" i="1"/>
  <c r="AE61" i="1" s="1"/>
  <c r="AF62" i="1"/>
  <c r="AF61" i="1" s="1"/>
  <c r="AG62" i="1"/>
  <c r="AG61" i="1" s="1"/>
  <c r="AH62" i="1"/>
  <c r="AH61" i="1" s="1"/>
  <c r="AI62" i="1"/>
  <c r="AI61" i="1" s="1"/>
  <c r="AJ62" i="1"/>
  <c r="AJ61" i="1" s="1"/>
  <c r="AK62" i="1"/>
  <c r="AK61" i="1" s="1"/>
  <c r="AL62" i="1"/>
  <c r="AL61" i="1" s="1"/>
  <c r="AM62" i="1"/>
  <c r="AM61" i="1" s="1"/>
  <c r="AN62" i="1"/>
  <c r="AN61" i="1" s="1"/>
  <c r="AO62" i="1"/>
  <c r="AO61" i="1" s="1"/>
  <c r="AP62" i="1"/>
  <c r="AP61" i="1" s="1"/>
  <c r="AQ62" i="1"/>
  <c r="AQ61" i="1" s="1"/>
  <c r="AR62" i="1"/>
  <c r="AR61" i="1" s="1"/>
  <c r="AS62" i="1"/>
  <c r="AS61" i="1" s="1"/>
  <c r="Q78" i="1" l="1"/>
  <c r="J15" i="1"/>
  <c r="M4" i="10"/>
  <c r="L5" i="10"/>
  <c r="L7" i="10"/>
  <c r="L6" i="10"/>
  <c r="L8" i="10"/>
  <c r="Q58" i="9"/>
  <c r="W102" i="1" s="1"/>
  <c r="Q79" i="1"/>
  <c r="P77" i="1"/>
  <c r="J25" i="9"/>
  <c r="C61" i="1"/>
  <c r="L51" i="9"/>
  <c r="K47" i="9"/>
  <c r="K60" i="9" s="1"/>
  <c r="R41" i="9"/>
  <c r="Q37" i="9"/>
  <c r="R36" i="9"/>
  <c r="Q32" i="9"/>
  <c r="S31" i="9"/>
  <c r="R27" i="9"/>
  <c r="R46" i="9"/>
  <c r="R42" i="9" s="1"/>
  <c r="Q42" i="9"/>
  <c r="R78" i="1" l="1"/>
  <c r="N4" i="10"/>
  <c r="K15" i="1"/>
  <c r="M5" i="10"/>
  <c r="M8" i="10"/>
  <c r="M7" i="10"/>
  <c r="M6" i="10"/>
  <c r="M33" i="10" s="1"/>
  <c r="L33" i="10"/>
  <c r="R58" i="9"/>
  <c r="X102" i="1" s="1"/>
  <c r="D31" i="9"/>
  <c r="D5" i="12" s="1"/>
  <c r="F70" i="12" s="1"/>
  <c r="R79" i="1"/>
  <c r="K25" i="9"/>
  <c r="K61" i="9"/>
  <c r="Q77" i="1"/>
  <c r="J61" i="9"/>
  <c r="S27" i="9"/>
  <c r="T31" i="9"/>
  <c r="M51" i="9"/>
  <c r="L47" i="9"/>
  <c r="S41" i="9"/>
  <c r="D41" i="9" s="1"/>
  <c r="D7" i="12" s="1"/>
  <c r="R37" i="9"/>
  <c r="S36" i="9"/>
  <c r="D36" i="9" s="1"/>
  <c r="D6" i="12" s="1"/>
  <c r="R32" i="9"/>
  <c r="S46" i="9"/>
  <c r="D46" i="9" s="1"/>
  <c r="D8" i="12" s="1"/>
  <c r="S78" i="1" l="1"/>
  <c r="L15" i="1"/>
  <c r="O4" i="10"/>
  <c r="N8" i="10"/>
  <c r="N6" i="10"/>
  <c r="N5" i="10"/>
  <c r="N7" i="10"/>
  <c r="AL14" i="10"/>
  <c r="D66" i="9"/>
  <c r="C24" i="4" s="1"/>
  <c r="D65" i="9"/>
  <c r="C23" i="4" s="1"/>
  <c r="S58" i="9"/>
  <c r="Y102" i="1" s="1"/>
  <c r="S79" i="1"/>
  <c r="L25" i="9"/>
  <c r="L60" i="9"/>
  <c r="R77" i="1"/>
  <c r="S37" i="9"/>
  <c r="T41" i="9"/>
  <c r="S42" i="9"/>
  <c r="T46" i="9"/>
  <c r="S32" i="9"/>
  <c r="T36" i="9"/>
  <c r="T58" i="9" s="1"/>
  <c r="Z102" i="1" s="1"/>
  <c r="U31" i="9"/>
  <c r="T27" i="9"/>
  <c r="N51" i="9"/>
  <c r="M47" i="9"/>
  <c r="M60" i="9" s="1"/>
  <c r="G74" i="1"/>
  <c r="H74" i="1"/>
  <c r="I74" i="1"/>
  <c r="J74" i="1"/>
  <c r="K74" i="1"/>
  <c r="L74" i="1"/>
  <c r="M74" i="1"/>
  <c r="N74" i="1"/>
  <c r="P74" i="1"/>
  <c r="Q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F7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O8" i="10" l="1"/>
  <c r="O7" i="10"/>
  <c r="O5" i="10"/>
  <c r="O6" i="10"/>
  <c r="T78" i="1"/>
  <c r="M15" i="1"/>
  <c r="P4" i="10"/>
  <c r="N33" i="10"/>
  <c r="AL15" i="10"/>
  <c r="L61" i="9"/>
  <c r="T79" i="1"/>
  <c r="S77" i="1"/>
  <c r="M25" i="9"/>
  <c r="M61" i="9"/>
  <c r="U36" i="9"/>
  <c r="T32" i="9"/>
  <c r="V31" i="9"/>
  <c r="U27" i="9"/>
  <c r="U46" i="9"/>
  <c r="T42" i="9"/>
  <c r="T37" i="9"/>
  <c r="U41" i="9"/>
  <c r="O51" i="9"/>
  <c r="N47" i="9"/>
  <c r="N60" i="9" s="1"/>
  <c r="O33" i="10" l="1"/>
  <c r="P8" i="10"/>
  <c r="P5" i="10"/>
  <c r="P6" i="10"/>
  <c r="P7" i="10"/>
  <c r="U78" i="1"/>
  <c r="N15" i="1"/>
  <c r="Q4" i="10"/>
  <c r="AL16" i="10"/>
  <c r="U58" i="9"/>
  <c r="AA102" i="1" s="1"/>
  <c r="T77" i="1"/>
  <c r="U79" i="1"/>
  <c r="N25" i="9"/>
  <c r="N61" i="9"/>
  <c r="V41" i="9"/>
  <c r="U37" i="9"/>
  <c r="V46" i="9"/>
  <c r="U42" i="9"/>
  <c r="W31" i="9"/>
  <c r="V27" i="9"/>
  <c r="U32" i="9"/>
  <c r="V36" i="9"/>
  <c r="P51" i="9"/>
  <c r="O47" i="9"/>
  <c r="O60" i="9" s="1"/>
  <c r="C72" i="1"/>
  <c r="C70" i="1"/>
  <c r="C68" i="1"/>
  <c r="C66" i="1"/>
  <c r="C60" i="1"/>
  <c r="C58" i="1"/>
  <c r="C56" i="1"/>
  <c r="C52" i="1"/>
  <c r="C50" i="1"/>
  <c r="C48" i="1"/>
  <c r="C46" i="1"/>
  <c r="C42" i="1"/>
  <c r="C39" i="1"/>
  <c r="C37" i="1"/>
  <c r="C35" i="1"/>
  <c r="C33" i="1"/>
  <c r="C29" i="1"/>
  <c r="C26" i="1"/>
  <c r="C22" i="1"/>
  <c r="V78" i="1" l="1"/>
  <c r="R4" i="10"/>
  <c r="O15" i="1"/>
  <c r="Q5" i="10"/>
  <c r="Q8" i="10"/>
  <c r="Q7" i="10"/>
  <c r="Q6" i="10"/>
  <c r="Q33" i="10" s="1"/>
  <c r="P33" i="10"/>
  <c r="AL17" i="10"/>
  <c r="U77" i="1"/>
  <c r="V58" i="9"/>
  <c r="AB102" i="1" s="1"/>
  <c r="V79" i="1"/>
  <c r="O25" i="9"/>
  <c r="O61" i="9"/>
  <c r="X31" i="9"/>
  <c r="W27" i="9"/>
  <c r="W46" i="9"/>
  <c r="V42" i="9"/>
  <c r="W41" i="9"/>
  <c r="V37" i="9"/>
  <c r="V32" i="9"/>
  <c r="W36" i="9"/>
  <c r="Q51" i="9"/>
  <c r="P47" i="9"/>
  <c r="P60" i="9" s="1"/>
  <c r="R8" i="10" l="1"/>
  <c r="R7" i="10"/>
  <c r="R6" i="10"/>
  <c r="R5" i="10"/>
  <c r="W78" i="1"/>
  <c r="S4" i="10"/>
  <c r="P15" i="1"/>
  <c r="AL18" i="10"/>
  <c r="W58" i="9"/>
  <c r="AC102" i="1" s="1"/>
  <c r="W79" i="1"/>
  <c r="P25" i="9"/>
  <c r="P61" i="9"/>
  <c r="V77" i="1"/>
  <c r="X41" i="9"/>
  <c r="W37" i="9"/>
  <c r="W32" i="9"/>
  <c r="X36" i="9"/>
  <c r="W42" i="9"/>
  <c r="X46" i="9"/>
  <c r="Y31" i="9"/>
  <c r="X27" i="9"/>
  <c r="R51" i="9"/>
  <c r="Q47" i="9"/>
  <c r="Q60" i="9" s="1"/>
  <c r="C76" i="1"/>
  <c r="R33" i="10" l="1"/>
  <c r="X78" i="1"/>
  <c r="Q15" i="1"/>
  <c r="T4" i="10"/>
  <c r="S7" i="10"/>
  <c r="S5" i="10"/>
  <c r="S6" i="10"/>
  <c r="S8" i="10"/>
  <c r="AL19" i="10"/>
  <c r="W77" i="1"/>
  <c r="X58" i="9"/>
  <c r="AD102" i="1" s="1"/>
  <c r="X79" i="1"/>
  <c r="Q25" i="9"/>
  <c r="Q61" i="9"/>
  <c r="Y46" i="9"/>
  <c r="X42" i="9"/>
  <c r="Y36" i="9"/>
  <c r="X32" i="9"/>
  <c r="Z31" i="9"/>
  <c r="Y27" i="9"/>
  <c r="Y41" i="9"/>
  <c r="X37" i="9"/>
  <c r="R47" i="9"/>
  <c r="R60" i="9" s="1"/>
  <c r="S51" i="9"/>
  <c r="D51" i="9" s="1"/>
  <c r="C31" i="1"/>
  <c r="O74" i="1"/>
  <c r="C74" i="1" s="1"/>
  <c r="C64" i="1"/>
  <c r="C62" i="1"/>
  <c r="F135" i="1"/>
  <c r="U4" i="10" l="1"/>
  <c r="R15" i="1"/>
  <c r="T5" i="10"/>
  <c r="T7" i="10"/>
  <c r="T8" i="10"/>
  <c r="T6" i="10"/>
  <c r="S33" i="10"/>
  <c r="AL20" i="10"/>
  <c r="Y78" i="1"/>
  <c r="Y58" i="9"/>
  <c r="AE102" i="1" s="1"/>
  <c r="Y79" i="1"/>
  <c r="R25" i="9"/>
  <c r="R61" i="9"/>
  <c r="X77" i="1"/>
  <c r="Y37" i="9"/>
  <c r="Z41" i="9"/>
  <c r="T51" i="9"/>
  <c r="AA31" i="9"/>
  <c r="Z27" i="9"/>
  <c r="Z36" i="9"/>
  <c r="Z58" i="9" s="1"/>
  <c r="AF102" i="1" s="1"/>
  <c r="Y32" i="9"/>
  <c r="Y42" i="9"/>
  <c r="Z46" i="9"/>
  <c r="T33" i="10" l="1"/>
  <c r="U5" i="10"/>
  <c r="U8" i="10"/>
  <c r="U6" i="10"/>
  <c r="U7" i="10"/>
  <c r="Z78" i="1"/>
  <c r="S15" i="1"/>
  <c r="V4" i="10"/>
  <c r="AL21" i="10"/>
  <c r="Y77" i="1"/>
  <c r="Z79" i="1"/>
  <c r="Z77" i="1" s="1"/>
  <c r="AA46" i="9"/>
  <c r="Z42" i="9"/>
  <c r="U51" i="9"/>
  <c r="T47" i="9"/>
  <c r="AA36" i="9"/>
  <c r="Z32" i="9"/>
  <c r="Z37" i="9"/>
  <c r="AA41" i="9"/>
  <c r="AA27" i="9"/>
  <c r="AB31" i="9"/>
  <c r="C112" i="1"/>
  <c r="T60" i="9" l="1"/>
  <c r="T61" i="9" s="1"/>
  <c r="U33" i="10"/>
  <c r="V8" i="10"/>
  <c r="V5" i="10"/>
  <c r="V7" i="10"/>
  <c r="V6" i="10"/>
  <c r="AL22" i="10"/>
  <c r="AA58" i="9"/>
  <c r="AG102" i="1" s="1"/>
  <c r="AA32" i="9"/>
  <c r="AB36" i="9"/>
  <c r="V51" i="9"/>
  <c r="U47" i="9"/>
  <c r="U60" i="9" s="1"/>
  <c r="AA37" i="9"/>
  <c r="AB41" i="9"/>
  <c r="AC31" i="9"/>
  <c r="AB27" i="9"/>
  <c r="T25" i="9"/>
  <c r="AB46" i="9"/>
  <c r="AA42" i="9"/>
  <c r="C38" i="1"/>
  <c r="C25" i="1"/>
  <c r="V33" i="10" l="1"/>
  <c r="U15" i="1"/>
  <c r="X4" i="10"/>
  <c r="AB79" i="1"/>
  <c r="AL23" i="10"/>
  <c r="AB58" i="9"/>
  <c r="AH102" i="1" s="1"/>
  <c r="U25" i="9"/>
  <c r="U61" i="9"/>
  <c r="AC41" i="9"/>
  <c r="AB37" i="9"/>
  <c r="AB42" i="9"/>
  <c r="AC46" i="9"/>
  <c r="AB32" i="9"/>
  <c r="AC36" i="9"/>
  <c r="AC27" i="9"/>
  <c r="AD31" i="9"/>
  <c r="V47" i="9"/>
  <c r="W51" i="9"/>
  <c r="F124" i="1"/>
  <c r="V60" i="9" l="1"/>
  <c r="V61" i="9" s="1"/>
  <c r="Y4" i="10"/>
  <c r="V15" i="1"/>
  <c r="X8" i="10"/>
  <c r="X7" i="10"/>
  <c r="X5" i="10"/>
  <c r="X6" i="10"/>
  <c r="AC79" i="1"/>
  <c r="AL24" i="10"/>
  <c r="AC58" i="9"/>
  <c r="AI102" i="1" s="1"/>
  <c r="V25" i="9"/>
  <c r="X51" i="9"/>
  <c r="W47" i="9"/>
  <c r="W60" i="9" s="1"/>
  <c r="AD27" i="9"/>
  <c r="AE31" i="9"/>
  <c r="AC32" i="9"/>
  <c r="AD36" i="9"/>
  <c r="AC42" i="9"/>
  <c r="AD46" i="9"/>
  <c r="AD41" i="9"/>
  <c r="AC37" i="9"/>
  <c r="G115" i="1"/>
  <c r="G118" i="1" s="1"/>
  <c r="H115" i="1"/>
  <c r="H118" i="1" s="1"/>
  <c r="I115" i="1"/>
  <c r="I118" i="1" s="1"/>
  <c r="J115" i="1"/>
  <c r="J118" i="1" s="1"/>
  <c r="K115" i="1"/>
  <c r="K118" i="1" s="1"/>
  <c r="L115" i="1"/>
  <c r="L118" i="1" s="1"/>
  <c r="M115" i="1"/>
  <c r="M118" i="1" s="1"/>
  <c r="N115" i="1"/>
  <c r="N118" i="1" s="1"/>
  <c r="O115" i="1"/>
  <c r="O118" i="1" s="1"/>
  <c r="P115" i="1"/>
  <c r="P118" i="1" s="1"/>
  <c r="Q115" i="1"/>
  <c r="Q118" i="1" s="1"/>
  <c r="R115" i="1"/>
  <c r="R118" i="1" s="1"/>
  <c r="S115" i="1"/>
  <c r="S118" i="1" s="1"/>
  <c r="T115" i="1"/>
  <c r="T118" i="1" s="1"/>
  <c r="U115" i="1"/>
  <c r="U118" i="1" s="1"/>
  <c r="V115" i="1"/>
  <c r="V118" i="1" s="1"/>
  <c r="W115" i="1"/>
  <c r="W118" i="1" s="1"/>
  <c r="X115" i="1"/>
  <c r="X118" i="1" s="1"/>
  <c r="Y115" i="1"/>
  <c r="Y118" i="1" s="1"/>
  <c r="Z115" i="1"/>
  <c r="Z118" i="1" s="1"/>
  <c r="AA115" i="1"/>
  <c r="AA118" i="1" s="1"/>
  <c r="AB115" i="1"/>
  <c r="AB118" i="1" s="1"/>
  <c r="AC115" i="1"/>
  <c r="AC118" i="1" s="1"/>
  <c r="AD115" i="1"/>
  <c r="AD118" i="1" s="1"/>
  <c r="AE115" i="1"/>
  <c r="AE118" i="1" s="1"/>
  <c r="AF115" i="1"/>
  <c r="AF118" i="1" s="1"/>
  <c r="AG115" i="1"/>
  <c r="AG118" i="1" s="1"/>
  <c r="AH115" i="1"/>
  <c r="AH118" i="1" s="1"/>
  <c r="AI115" i="1"/>
  <c r="AI118" i="1" s="1"/>
  <c r="AJ115" i="1"/>
  <c r="AJ118" i="1" s="1"/>
  <c r="AK115" i="1"/>
  <c r="AK118" i="1" s="1"/>
  <c r="AL115" i="1"/>
  <c r="AL118" i="1" s="1"/>
  <c r="AM115" i="1"/>
  <c r="AM118" i="1" s="1"/>
  <c r="AN115" i="1"/>
  <c r="AN118" i="1" s="1"/>
  <c r="AO115" i="1"/>
  <c r="AO118" i="1" s="1"/>
  <c r="AP115" i="1"/>
  <c r="AP118" i="1" s="1"/>
  <c r="AQ115" i="1"/>
  <c r="AQ118" i="1" s="1"/>
  <c r="AR115" i="1"/>
  <c r="AR118" i="1" s="1"/>
  <c r="AS115" i="1"/>
  <c r="AS118" i="1" s="1"/>
  <c r="F115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W15" i="1" l="1"/>
  <c r="Z4" i="10"/>
  <c r="Y5" i="10"/>
  <c r="Y8" i="10"/>
  <c r="Y7" i="10"/>
  <c r="Y6" i="10"/>
  <c r="X33" i="10"/>
  <c r="AD79" i="1"/>
  <c r="AL25" i="10"/>
  <c r="AD58" i="9"/>
  <c r="AJ102" i="1" s="1"/>
  <c r="W25" i="9"/>
  <c r="W61" i="9"/>
  <c r="AD37" i="9"/>
  <c r="AE41" i="9"/>
  <c r="AD42" i="9"/>
  <c r="AE46" i="9"/>
  <c r="AD32" i="9"/>
  <c r="AE36" i="9"/>
  <c r="AE58" i="9" s="1"/>
  <c r="AK102" i="1" s="1"/>
  <c r="AF31" i="9"/>
  <c r="AE27" i="9"/>
  <c r="Y51" i="9"/>
  <c r="X47" i="9"/>
  <c r="X60" i="9" s="1"/>
  <c r="X15" i="1" l="1"/>
  <c r="AA4" i="10"/>
  <c r="Y33" i="10"/>
  <c r="Z8" i="10"/>
  <c r="Z7" i="10"/>
  <c r="Z6" i="10"/>
  <c r="Z5" i="10"/>
  <c r="AE79" i="1"/>
  <c r="X25" i="9"/>
  <c r="X61" i="9"/>
  <c r="Y47" i="9"/>
  <c r="Z51" i="9"/>
  <c r="AE42" i="9"/>
  <c r="AF46" i="9"/>
  <c r="AG31" i="9"/>
  <c r="AF27" i="9"/>
  <c r="AE32" i="9"/>
  <c r="AF36" i="9"/>
  <c r="AE37" i="9"/>
  <c r="AF41" i="9"/>
  <c r="C21" i="1"/>
  <c r="C28" i="1"/>
  <c r="Y60" i="9" l="1"/>
  <c r="Y61" i="9" s="1"/>
  <c r="Y15" i="1"/>
  <c r="AB4" i="10"/>
  <c r="Z33" i="10"/>
  <c r="AA8" i="10"/>
  <c r="AA5" i="10"/>
  <c r="AA7" i="10"/>
  <c r="AA6" i="10"/>
  <c r="AL27" i="10"/>
  <c r="AF79" i="1"/>
  <c r="AF58" i="9"/>
  <c r="AL102" i="1" s="1"/>
  <c r="AG36" i="9"/>
  <c r="AF32" i="9"/>
  <c r="AF37" i="9"/>
  <c r="AG41" i="9"/>
  <c r="AG27" i="9"/>
  <c r="AH31" i="9"/>
  <c r="AA51" i="9"/>
  <c r="Z47" i="9"/>
  <c r="Z60" i="9" s="1"/>
  <c r="AF42" i="9"/>
  <c r="AG46" i="9"/>
  <c r="Y25" i="9"/>
  <c r="AA33" i="10" l="1"/>
  <c r="AC4" i="10"/>
  <c r="Z15" i="1"/>
  <c r="AB5" i="10"/>
  <c r="AB8" i="10"/>
  <c r="AB6" i="10"/>
  <c r="AB7" i="10"/>
  <c r="AL28" i="10"/>
  <c r="AG79" i="1"/>
  <c r="AG58" i="9"/>
  <c r="AM102" i="1" s="1"/>
  <c r="Z25" i="9"/>
  <c r="Z61" i="9"/>
  <c r="AG42" i="9"/>
  <c r="AH46" i="9"/>
  <c r="AI31" i="9"/>
  <c r="AH27" i="9"/>
  <c r="AA47" i="9"/>
  <c r="AB51" i="9"/>
  <c r="AG37" i="9"/>
  <c r="AH41" i="9"/>
  <c r="AH36" i="9"/>
  <c r="AG32" i="9"/>
  <c r="AA60" i="9" l="1"/>
  <c r="AA61" i="9" s="1"/>
  <c r="AA15" i="1"/>
  <c r="AD4" i="10"/>
  <c r="AB33" i="10"/>
  <c r="AC5" i="10"/>
  <c r="AC8" i="10"/>
  <c r="AC7" i="10"/>
  <c r="AC6" i="10"/>
  <c r="AL29" i="10"/>
  <c r="AL31" i="10"/>
  <c r="AH58" i="9"/>
  <c r="AN102" i="1" s="1"/>
  <c r="AH79" i="1"/>
  <c r="AI36" i="9"/>
  <c r="AH32" i="9"/>
  <c r="AI27" i="9"/>
  <c r="AJ31" i="9"/>
  <c r="AH37" i="9"/>
  <c r="AI41" i="9"/>
  <c r="AB47" i="9"/>
  <c r="AB60" i="9" s="1"/>
  <c r="AC51" i="9"/>
  <c r="AH42" i="9"/>
  <c r="AI46" i="9"/>
  <c r="AA25" i="9"/>
  <c r="AC33" i="10" l="1"/>
  <c r="AB15" i="1"/>
  <c r="AE4" i="10"/>
  <c r="AD8" i="10"/>
  <c r="AD6" i="10"/>
  <c r="AD5" i="10"/>
  <c r="AD7" i="10"/>
  <c r="AL30" i="10"/>
  <c r="AI58" i="9"/>
  <c r="AO102" i="1" s="1"/>
  <c r="AB25" i="9"/>
  <c r="AB61" i="9"/>
  <c r="AB78" i="1"/>
  <c r="AB77" i="1" s="1"/>
  <c r="AI79" i="1"/>
  <c r="AJ46" i="9"/>
  <c r="AI42" i="9"/>
  <c r="AJ41" i="9"/>
  <c r="AI37" i="9"/>
  <c r="AC47" i="9"/>
  <c r="AC60" i="9" s="1"/>
  <c r="AD51" i="9"/>
  <c r="AK31" i="9"/>
  <c r="AJ27" i="9"/>
  <c r="AI32" i="9"/>
  <c r="AJ36" i="9"/>
  <c r="AD33" i="10" l="1"/>
  <c r="AF4" i="10"/>
  <c r="AC15" i="1"/>
  <c r="AC92" i="1" s="1"/>
  <c r="AE5" i="10"/>
  <c r="AE6" i="10"/>
  <c r="AE8" i="10"/>
  <c r="AE7" i="10"/>
  <c r="AL32" i="10"/>
  <c r="AJ58" i="9"/>
  <c r="AP102" i="1" s="1"/>
  <c r="AC25" i="9"/>
  <c r="AC61" i="9"/>
  <c r="AJ79" i="1"/>
  <c r="AC78" i="1"/>
  <c r="AC77" i="1" s="1"/>
  <c r="AK27" i="9"/>
  <c r="AL31" i="9"/>
  <c r="AK36" i="9"/>
  <c r="AJ32" i="9"/>
  <c r="AE51" i="9"/>
  <c r="AD47" i="9"/>
  <c r="AD60" i="9" s="1"/>
  <c r="AJ37" i="9"/>
  <c r="AK41" i="9"/>
  <c r="AJ42" i="9"/>
  <c r="N20" i="1"/>
  <c r="O20" i="1"/>
  <c r="R20" i="1"/>
  <c r="S20" i="1"/>
  <c r="V20" i="1"/>
  <c r="W20" i="1"/>
  <c r="Z20" i="1"/>
  <c r="AA20" i="1"/>
  <c r="AE20" i="1"/>
  <c r="AI20" i="1"/>
  <c r="AM20" i="1"/>
  <c r="AQ20" i="1"/>
  <c r="P20" i="1"/>
  <c r="Q20" i="1"/>
  <c r="T20" i="1"/>
  <c r="U20" i="1"/>
  <c r="X20" i="1"/>
  <c r="Y20" i="1"/>
  <c r="AB20" i="1"/>
  <c r="AC20" i="1"/>
  <c r="AD20" i="1"/>
  <c r="AF20" i="1"/>
  <c r="AG20" i="1"/>
  <c r="AH20" i="1"/>
  <c r="AJ20" i="1"/>
  <c r="AK20" i="1"/>
  <c r="AL20" i="1"/>
  <c r="AN20" i="1"/>
  <c r="AO20" i="1"/>
  <c r="AP20" i="1"/>
  <c r="AR20" i="1"/>
  <c r="AS20" i="1"/>
  <c r="G20" i="1"/>
  <c r="H20" i="1"/>
  <c r="I20" i="1"/>
  <c r="J20" i="1"/>
  <c r="K20" i="1"/>
  <c r="L20" i="1"/>
  <c r="M20" i="1"/>
  <c r="F20" i="1"/>
  <c r="AE33" i="10" l="1"/>
  <c r="AG4" i="10"/>
  <c r="AD15" i="1"/>
  <c r="AD92" i="1" s="1"/>
  <c r="AF8" i="10"/>
  <c r="AF7" i="10"/>
  <c r="AF6" i="10"/>
  <c r="AF5" i="10"/>
  <c r="AK58" i="9"/>
  <c r="AQ102" i="1" s="1"/>
  <c r="AD25" i="9"/>
  <c r="AD61" i="9"/>
  <c r="AK79" i="1"/>
  <c r="AD78" i="1"/>
  <c r="AD77" i="1" s="1"/>
  <c r="AK37" i="9"/>
  <c r="AL41" i="9"/>
  <c r="AK32" i="9"/>
  <c r="AL36" i="9"/>
  <c r="AE47" i="9"/>
  <c r="AE60" i="9" s="1"/>
  <c r="AF51" i="9"/>
  <c r="AM31" i="9"/>
  <c r="AL27" i="9"/>
  <c r="AK42" i="9"/>
  <c r="C20" i="1"/>
  <c r="C28" i="4" s="1"/>
  <c r="AE15" i="1" l="1"/>
  <c r="AE92" i="1" s="1"/>
  <c r="AH4" i="10"/>
  <c r="AF33" i="10"/>
  <c r="AG5" i="10"/>
  <c r="AG8" i="10"/>
  <c r="AG7" i="10"/>
  <c r="AG6" i="10"/>
  <c r="AL58" i="9"/>
  <c r="AR102" i="1" s="1"/>
  <c r="AM27" i="9"/>
  <c r="D27" i="9" s="1"/>
  <c r="F5" i="12" s="1"/>
  <c r="AE25" i="9"/>
  <c r="AE61" i="9"/>
  <c r="AL79" i="1"/>
  <c r="AE78" i="1"/>
  <c r="AE77" i="1" s="1"/>
  <c r="AG51" i="9"/>
  <c r="AF47" i="9"/>
  <c r="AF60" i="9" s="1"/>
  <c r="AM36" i="9"/>
  <c r="AM32" i="9" s="1"/>
  <c r="AL32" i="9"/>
  <c r="AM42" i="9"/>
  <c r="AL42" i="9"/>
  <c r="AM41" i="9"/>
  <c r="AM37" i="9" s="1"/>
  <c r="AL37" i="9"/>
  <c r="AG33" i="10" l="1"/>
  <c r="AH8" i="10"/>
  <c r="AH6" i="10"/>
  <c r="AH5" i="10"/>
  <c r="AH7" i="10"/>
  <c r="AF15" i="1"/>
  <c r="AF92" i="1" s="1"/>
  <c r="AI4" i="10"/>
  <c r="AM58" i="9"/>
  <c r="AS102" i="1" s="1"/>
  <c r="AF25" i="9"/>
  <c r="AF61" i="9"/>
  <c r="AM79" i="1"/>
  <c r="AF78" i="1"/>
  <c r="AF77" i="1" s="1"/>
  <c r="D42" i="9"/>
  <c r="F8" i="12" s="1"/>
  <c r="D37" i="9"/>
  <c r="F7" i="12" s="1"/>
  <c r="D32" i="9"/>
  <c r="F6" i="12" s="1"/>
  <c r="AG47" i="9"/>
  <c r="AG60" i="9" s="1"/>
  <c r="AG15" i="1" l="1"/>
  <c r="AG92" i="1" s="1"/>
  <c r="AJ4" i="10"/>
  <c r="AI8" i="10"/>
  <c r="AI7" i="10"/>
  <c r="AI6" i="10"/>
  <c r="AI5" i="10"/>
  <c r="AH33" i="10"/>
  <c r="AG25" i="9"/>
  <c r="AG61" i="9"/>
  <c r="AN79" i="1"/>
  <c r="AG78" i="1"/>
  <c r="AG77" i="1" s="1"/>
  <c r="AH47" i="9"/>
  <c r="AH60" i="9" s="1"/>
  <c r="B43" i="9"/>
  <c r="F139" i="1"/>
  <c r="AK4" i="10" l="1"/>
  <c r="AH15" i="1"/>
  <c r="AH92" i="1" s="1"/>
  <c r="AJ5" i="10"/>
  <c r="AJ8" i="10"/>
  <c r="AJ6" i="10"/>
  <c r="AJ7" i="10"/>
  <c r="AI33" i="10"/>
  <c r="AH25" i="9"/>
  <c r="AH61" i="9"/>
  <c r="AH78" i="1"/>
  <c r="AH77" i="1" s="1"/>
  <c r="AO79" i="1"/>
  <c r="AO77" i="1" s="1"/>
  <c r="AI47" i="9"/>
  <c r="AI60" i="9" s="1"/>
  <c r="AJ33" i="10" l="1"/>
  <c r="AK5" i="10"/>
  <c r="AK8" i="10"/>
  <c r="AK6" i="10"/>
  <c r="AK33" i="10" s="1"/>
  <c r="AK7" i="10"/>
  <c r="AI25" i="9"/>
  <c r="AI61" i="9"/>
  <c r="AP79" i="1"/>
  <c r="AP77" i="1" s="1"/>
  <c r="AI78" i="1"/>
  <c r="AI77" i="1" s="1"/>
  <c r="AJ47" i="9"/>
  <c r="AJ60" i="9" s="1"/>
  <c r="K27" i="1"/>
  <c r="AJ25" i="9" l="1"/>
  <c r="AJ61" i="9"/>
  <c r="AJ78" i="1"/>
  <c r="AJ77" i="1" s="1"/>
  <c r="AQ79" i="1"/>
  <c r="AQ77" i="1" s="1"/>
  <c r="AK47" i="9"/>
  <c r="L27" i="1"/>
  <c r="F2" i="1"/>
  <c r="F122" i="1"/>
  <c r="F119" i="1"/>
  <c r="F118" i="1"/>
  <c r="F117" i="1"/>
  <c r="F116" i="1"/>
  <c r="F91" i="1"/>
  <c r="AK25" i="9" l="1"/>
  <c r="AK60" i="9"/>
  <c r="AK61" i="9" s="1"/>
  <c r="AR79" i="1"/>
  <c r="AR77" i="1" s="1"/>
  <c r="AK78" i="1"/>
  <c r="AK77" i="1" s="1"/>
  <c r="AL47" i="9"/>
  <c r="AM47" i="9"/>
  <c r="AM60" i="9" s="1"/>
  <c r="M27" i="1"/>
  <c r="F5" i="1"/>
  <c r="F4" i="1"/>
  <c r="F9" i="1"/>
  <c r="M105" i="1" s="1"/>
  <c r="F101" i="1" s="1"/>
  <c r="F8" i="1"/>
  <c r="G2" i="1"/>
  <c r="F6" i="1"/>
  <c r="F3" i="1"/>
  <c r="F123" i="1"/>
  <c r="F125" i="1" s="1"/>
  <c r="AL25" i="9" l="1"/>
  <c r="AM78" i="1" s="1"/>
  <c r="AM77" i="1" s="1"/>
  <c r="AL60" i="9"/>
  <c r="AL61" i="9" s="1"/>
  <c r="AM61" i="9"/>
  <c r="AL78" i="1"/>
  <c r="AL77" i="1" s="1"/>
  <c r="AS79" i="1"/>
  <c r="AM25" i="9"/>
  <c r="AN78" i="1" s="1"/>
  <c r="N27" i="1"/>
  <c r="G5" i="1"/>
  <c r="G4" i="1"/>
  <c r="G8" i="1"/>
  <c r="G9" i="1"/>
  <c r="N105" i="1" s="1"/>
  <c r="G101" i="1" s="1"/>
  <c r="H2" i="1"/>
  <c r="G6" i="1"/>
  <c r="F103" i="1"/>
  <c r="AN77" i="1" l="1"/>
  <c r="AS77" i="1"/>
  <c r="O27" i="1"/>
  <c r="H5" i="1"/>
  <c r="H4" i="1"/>
  <c r="H9" i="1"/>
  <c r="O105" i="1" s="1"/>
  <c r="H101" i="1" s="1"/>
  <c r="H8" i="1"/>
  <c r="I2" i="1"/>
  <c r="P27" i="1" l="1"/>
  <c r="I5" i="1"/>
  <c r="I4" i="1"/>
  <c r="I8" i="1"/>
  <c r="I9" i="1"/>
  <c r="P105" i="1" s="1"/>
  <c r="I101" i="1" s="1"/>
  <c r="J2" i="1"/>
  <c r="Q27" i="1" l="1"/>
  <c r="J4" i="1"/>
  <c r="J5" i="1"/>
  <c r="F92" i="1"/>
  <c r="F93" i="1" s="1"/>
  <c r="F95" i="1"/>
  <c r="K2" i="1"/>
  <c r="J8" i="1"/>
  <c r="J9" i="1"/>
  <c r="Q105" i="1" s="1"/>
  <c r="J101" i="1" s="1"/>
  <c r="R27" i="1" l="1"/>
  <c r="K5" i="1"/>
  <c r="K4" i="1"/>
  <c r="L2" i="1"/>
  <c r="K9" i="1"/>
  <c r="R105" i="1" s="1"/>
  <c r="K101" i="1" s="1"/>
  <c r="K8" i="1"/>
  <c r="F90" i="1"/>
  <c r="K104" i="1" l="1"/>
  <c r="B38" i="9"/>
  <c r="B22" i="9" s="1"/>
  <c r="B39" i="9"/>
  <c r="B34" i="9"/>
  <c r="S27" i="1"/>
  <c r="L5" i="1"/>
  <c r="L4" i="1"/>
  <c r="M2" i="1"/>
  <c r="L9" i="1"/>
  <c r="S105" i="1" s="1"/>
  <c r="L101" i="1" s="1"/>
  <c r="L8" i="1"/>
  <c r="G3" i="1"/>
  <c r="B59" i="9" l="1"/>
  <c r="I104" i="1" s="1"/>
  <c r="L104" i="1"/>
  <c r="T27" i="1"/>
  <c r="K23" i="1"/>
  <c r="L23" i="1"/>
  <c r="M5" i="1"/>
  <c r="M23" i="1" s="1"/>
  <c r="M4" i="1"/>
  <c r="N2" i="1"/>
  <c r="M9" i="1"/>
  <c r="T105" i="1" s="1"/>
  <c r="M101" i="1" s="1"/>
  <c r="M8" i="1"/>
  <c r="H6" i="1"/>
  <c r="H3" i="1"/>
  <c r="J104" i="1" l="1"/>
  <c r="M104" i="1"/>
  <c r="U27" i="1"/>
  <c r="N5" i="1"/>
  <c r="N23" i="1" s="1"/>
  <c r="N4" i="1"/>
  <c r="O2" i="1"/>
  <c r="N8" i="1"/>
  <c r="N9" i="1"/>
  <c r="U105" i="1" s="1"/>
  <c r="N101" i="1" s="1"/>
  <c r="I6" i="1"/>
  <c r="I3" i="1"/>
  <c r="N104" i="1" l="1"/>
  <c r="V27" i="1"/>
  <c r="O5" i="1"/>
  <c r="O23" i="1" s="1"/>
  <c r="O4" i="1"/>
  <c r="P2" i="1"/>
  <c r="O9" i="1"/>
  <c r="V105" i="1" s="1"/>
  <c r="O101" i="1" s="1"/>
  <c r="O8" i="1"/>
  <c r="J6" i="1"/>
  <c r="J3" i="1"/>
  <c r="O104" i="1" l="1"/>
  <c r="W27" i="1"/>
  <c r="P5" i="1"/>
  <c r="P23" i="1" s="1"/>
  <c r="P4" i="1"/>
  <c r="Q2" i="1"/>
  <c r="P9" i="1"/>
  <c r="W105" i="1" s="1"/>
  <c r="P101" i="1" s="1"/>
  <c r="P8" i="1"/>
  <c r="K6" i="1"/>
  <c r="K3" i="1"/>
  <c r="P104" i="1" l="1"/>
  <c r="X27" i="1"/>
  <c r="Q5" i="1"/>
  <c r="Q4" i="1"/>
  <c r="R2" i="1"/>
  <c r="Q8" i="1"/>
  <c r="Q9" i="1"/>
  <c r="X105" i="1" s="1"/>
  <c r="Q101" i="1" s="1"/>
  <c r="L6" i="1"/>
  <c r="L3" i="1"/>
  <c r="Q104" i="1" l="1"/>
  <c r="Y27" i="1"/>
  <c r="R4" i="1"/>
  <c r="R5" i="1"/>
  <c r="R23" i="1" s="1"/>
  <c r="S2" i="1"/>
  <c r="R8" i="1"/>
  <c r="R9" i="1"/>
  <c r="Y105" i="1" s="1"/>
  <c r="R101" i="1" s="1"/>
  <c r="M6" i="1"/>
  <c r="M3" i="1"/>
  <c r="R104" i="1" l="1"/>
  <c r="Z27" i="1"/>
  <c r="S5" i="1"/>
  <c r="S23" i="1" s="1"/>
  <c r="S4" i="1"/>
  <c r="T2" i="1"/>
  <c r="S8" i="1"/>
  <c r="S9" i="1"/>
  <c r="Z105" i="1" s="1"/>
  <c r="S101" i="1" s="1"/>
  <c r="N6" i="1"/>
  <c r="N3" i="1"/>
  <c r="S104" i="1" l="1"/>
  <c r="AA27" i="1"/>
  <c r="T5" i="1"/>
  <c r="T23" i="1" s="1"/>
  <c r="T4" i="1"/>
  <c r="U2" i="1"/>
  <c r="T9" i="1"/>
  <c r="AA105" i="1" s="1"/>
  <c r="T101" i="1" s="1"/>
  <c r="T8" i="1"/>
  <c r="O6" i="1"/>
  <c r="O3" i="1"/>
  <c r="T104" i="1" l="1"/>
  <c r="AB27" i="1"/>
  <c r="U8" i="1"/>
  <c r="U5" i="1"/>
  <c r="U23" i="1" s="1"/>
  <c r="U4" i="1"/>
  <c r="V2" i="1"/>
  <c r="U9" i="1"/>
  <c r="AB105" i="1" s="1"/>
  <c r="U101" i="1" s="1"/>
  <c r="P6" i="1"/>
  <c r="Q6" i="1"/>
  <c r="P3" i="1"/>
  <c r="U104" i="1" l="1"/>
  <c r="AC27" i="1"/>
  <c r="V5" i="1"/>
  <c r="V23" i="1" s="1"/>
  <c r="V4" i="1"/>
  <c r="W2" i="1"/>
  <c r="V8" i="1"/>
  <c r="V9" i="1"/>
  <c r="AC105" i="1" s="1"/>
  <c r="V101" i="1" s="1"/>
  <c r="Q3" i="1"/>
  <c r="V104" i="1" l="1"/>
  <c r="AD27" i="1"/>
  <c r="W5" i="1"/>
  <c r="W23" i="1" s="1"/>
  <c r="W4" i="1"/>
  <c r="X2" i="1"/>
  <c r="W9" i="1"/>
  <c r="AD105" i="1" s="1"/>
  <c r="W101" i="1" s="1"/>
  <c r="W8" i="1"/>
  <c r="R6" i="1"/>
  <c r="R3" i="1"/>
  <c r="W104" i="1" l="1"/>
  <c r="AE27" i="1"/>
  <c r="X4" i="1"/>
  <c r="X5" i="1"/>
  <c r="Y2" i="1"/>
  <c r="X9" i="1"/>
  <c r="AE105" i="1" s="1"/>
  <c r="X101" i="1" s="1"/>
  <c r="X8" i="1"/>
  <c r="S6" i="1"/>
  <c r="S3" i="1"/>
  <c r="F94" i="1"/>
  <c r="X104" i="1" l="1"/>
  <c r="AF27" i="1"/>
  <c r="Y5" i="1"/>
  <c r="Y23" i="1" s="1"/>
  <c r="Y4" i="1"/>
  <c r="Z2" i="1"/>
  <c r="Y9" i="1"/>
  <c r="AF105" i="1" s="1"/>
  <c r="Y101" i="1" s="1"/>
  <c r="Y8" i="1"/>
  <c r="T6" i="1"/>
  <c r="G91" i="1"/>
  <c r="T3" i="1"/>
  <c r="F120" i="1"/>
  <c r="Y104" i="1" l="1"/>
  <c r="AG27" i="1"/>
  <c r="Z5" i="1"/>
  <c r="Z23" i="1" s="1"/>
  <c r="Z4" i="1"/>
  <c r="AA2" i="1"/>
  <c r="Z8" i="1"/>
  <c r="Z9" i="1"/>
  <c r="AG105" i="1" s="1"/>
  <c r="Z101" i="1" s="1"/>
  <c r="V6" i="1"/>
  <c r="U6" i="1"/>
  <c r="U3" i="1"/>
  <c r="V3" i="1"/>
  <c r="Z104" i="1" l="1"/>
  <c r="AH27" i="1"/>
  <c r="AA5" i="1"/>
  <c r="AA23" i="1" s="1"/>
  <c r="AA4" i="1"/>
  <c r="AB2" i="1"/>
  <c r="AA8" i="1"/>
  <c r="AA9" i="1"/>
  <c r="AH105" i="1" s="1"/>
  <c r="AA101" i="1" s="1"/>
  <c r="W6" i="1"/>
  <c r="W3" i="1"/>
  <c r="AA104" i="1" l="1"/>
  <c r="AI27" i="1"/>
  <c r="AB4" i="1"/>
  <c r="AB5" i="1"/>
  <c r="AB23" i="1" s="1"/>
  <c r="AC2" i="1"/>
  <c r="AB9" i="1"/>
  <c r="AI105" i="1" s="1"/>
  <c r="AB101" i="1" s="1"/>
  <c r="X6" i="1"/>
  <c r="X3" i="1"/>
  <c r="AB104" i="1" l="1"/>
  <c r="AJ27" i="1"/>
  <c r="AC5" i="1"/>
  <c r="AC23" i="1" s="1"/>
  <c r="AC4" i="1"/>
  <c r="AD2" i="1"/>
  <c r="AC9" i="1"/>
  <c r="AJ105" i="1" s="1"/>
  <c r="AC101" i="1" s="1"/>
  <c r="Y6" i="1"/>
  <c r="Y3" i="1"/>
  <c r="AC104" i="1" l="1"/>
  <c r="AK27" i="1"/>
  <c r="AD5" i="1"/>
  <c r="AD7" i="1" s="1"/>
  <c r="AD23" i="1" s="1"/>
  <c r="AD4" i="1"/>
  <c r="AE2" i="1"/>
  <c r="AD9" i="1"/>
  <c r="AK105" i="1" s="1"/>
  <c r="AD101" i="1" s="1"/>
  <c r="Z6" i="1"/>
  <c r="Z3" i="1"/>
  <c r="AD104" i="1" l="1"/>
  <c r="AL27" i="1"/>
  <c r="AE5" i="1"/>
  <c r="AE7" i="1" s="1"/>
  <c r="AE4" i="1"/>
  <c r="AF2" i="1"/>
  <c r="AE9" i="1"/>
  <c r="AL105" i="1" s="1"/>
  <c r="AE101" i="1" s="1"/>
  <c r="AA6" i="1"/>
  <c r="AA3" i="1"/>
  <c r="AE104" i="1" l="1"/>
  <c r="AM27" i="1"/>
  <c r="AF4" i="1"/>
  <c r="AF5" i="1"/>
  <c r="AF7" i="1" s="1"/>
  <c r="AF23" i="1" s="1"/>
  <c r="AG2" i="1"/>
  <c r="AF9" i="1"/>
  <c r="AM105" i="1" s="1"/>
  <c r="AF101" i="1" s="1"/>
  <c r="AB3" i="1"/>
  <c r="AF104" i="1" l="1"/>
  <c r="AN27" i="1"/>
  <c r="AG5" i="1"/>
  <c r="AG7" i="1" s="1"/>
  <c r="AG23" i="1" s="1"/>
  <c r="AG4" i="1"/>
  <c r="AH2" i="1"/>
  <c r="AG9" i="1"/>
  <c r="AN105" i="1" s="1"/>
  <c r="AG101" i="1" s="1"/>
  <c r="AC3" i="1"/>
  <c r="AG104" i="1" l="1"/>
  <c r="AO27" i="1"/>
  <c r="AH5" i="1"/>
  <c r="AH7" i="1" s="1"/>
  <c r="AH23" i="1" s="1"/>
  <c r="AH4" i="1"/>
  <c r="AI2" i="1"/>
  <c r="AH9" i="1"/>
  <c r="AO105" i="1" s="1"/>
  <c r="AH101" i="1" s="1"/>
  <c r="AD3" i="1"/>
  <c r="AH104" i="1" l="1"/>
  <c r="AP27" i="1"/>
  <c r="AI5" i="1"/>
  <c r="AI7" i="1" s="1"/>
  <c r="AI23" i="1" s="1"/>
  <c r="AI4" i="1"/>
  <c r="AJ2" i="1"/>
  <c r="AI9" i="1"/>
  <c r="AP105" i="1" s="1"/>
  <c r="AI101" i="1" s="1"/>
  <c r="AE3" i="1"/>
  <c r="AF3" i="1"/>
  <c r="AI104" i="1" l="1"/>
  <c r="AQ27" i="1"/>
  <c r="AJ4" i="1"/>
  <c r="AJ5" i="1"/>
  <c r="AJ7" i="1" s="1"/>
  <c r="AJ23" i="1" s="1"/>
  <c r="AK2" i="1"/>
  <c r="AJ9" i="1"/>
  <c r="AQ105" i="1" s="1"/>
  <c r="AJ101" i="1" s="1"/>
  <c r="AG6" i="1"/>
  <c r="AG3" i="1"/>
  <c r="AJ104" i="1" l="1"/>
  <c r="AR27" i="1"/>
  <c r="AK4" i="1"/>
  <c r="AK5" i="1"/>
  <c r="AK7" i="1" s="1"/>
  <c r="AK23" i="1" s="1"/>
  <c r="AL2" i="1"/>
  <c r="AK9" i="1"/>
  <c r="AR105" i="1" s="1"/>
  <c r="AK101" i="1" s="1"/>
  <c r="AH6" i="1"/>
  <c r="C51" i="1"/>
  <c r="C49" i="1"/>
  <c r="C47" i="1"/>
  <c r="C36" i="1"/>
  <c r="C30" i="1"/>
  <c r="C34" i="1"/>
  <c r="C45" i="1"/>
  <c r="C43" i="1"/>
  <c r="AH3" i="1"/>
  <c r="AK104" i="1" l="1"/>
  <c r="C41" i="1"/>
  <c r="C32" i="1"/>
  <c r="AS27" i="1"/>
  <c r="C27" i="1" s="1"/>
  <c r="C30" i="4" s="1"/>
  <c r="AL5" i="1"/>
  <c r="AL7" i="1" s="1"/>
  <c r="AL4" i="1"/>
  <c r="AM2" i="1"/>
  <c r="AL9" i="1"/>
  <c r="AS105" i="1" s="1"/>
  <c r="AL101" i="1" s="1"/>
  <c r="AI6" i="1"/>
  <c r="AI3" i="1"/>
  <c r="AL104" i="1" l="1"/>
  <c r="AM5" i="1"/>
  <c r="AM7" i="1" s="1"/>
  <c r="AM23" i="1" s="1"/>
  <c r="AM4" i="1"/>
  <c r="AN2" i="1"/>
  <c r="AM9" i="1"/>
  <c r="AM104" i="1" s="1"/>
  <c r="AJ6" i="1"/>
  <c r="AJ3" i="1"/>
  <c r="AN4" i="1" l="1"/>
  <c r="AN5" i="1"/>
  <c r="AN7" i="1" s="1"/>
  <c r="AN23" i="1" s="1"/>
  <c r="AO2" i="1"/>
  <c r="AN9" i="1"/>
  <c r="AN104" i="1" s="1"/>
  <c r="AK6" i="1"/>
  <c r="AK3" i="1"/>
  <c r="AO4" i="1" l="1"/>
  <c r="AO5" i="1"/>
  <c r="AO7" i="1" s="1"/>
  <c r="AO23" i="1" s="1"/>
  <c r="AP2" i="1"/>
  <c r="AO9" i="1"/>
  <c r="AO104" i="1" s="1"/>
  <c r="AL6" i="1"/>
  <c r="AL3" i="1"/>
  <c r="AP4" i="1" l="1"/>
  <c r="AP5" i="1"/>
  <c r="AP7" i="1" s="1"/>
  <c r="AP23" i="1" s="1"/>
  <c r="AQ2" i="1"/>
  <c r="AP9" i="1"/>
  <c r="AP104" i="1" s="1"/>
  <c r="AM6" i="1"/>
  <c r="AM3" i="1"/>
  <c r="AQ5" i="1" l="1"/>
  <c r="AQ7" i="1" s="1"/>
  <c r="AQ23" i="1" s="1"/>
  <c r="AQ4" i="1"/>
  <c r="AR2" i="1"/>
  <c r="AQ9" i="1"/>
  <c r="AQ104" i="1" s="1"/>
  <c r="AN6" i="1"/>
  <c r="AN3" i="1"/>
  <c r="AR4" i="1" l="1"/>
  <c r="AR5" i="1"/>
  <c r="AR7" i="1" s="1"/>
  <c r="AR23" i="1" s="1"/>
  <c r="AS2" i="1"/>
  <c r="AR9" i="1"/>
  <c r="AR104" i="1" s="1"/>
  <c r="AO6" i="1"/>
  <c r="AO3" i="1"/>
  <c r="AP6" i="1"/>
  <c r="AS4" i="1" l="1"/>
  <c r="AS5" i="1"/>
  <c r="AS7" i="1" s="1"/>
  <c r="AS9" i="1"/>
  <c r="AS104" i="1" s="1"/>
  <c r="AP3" i="1"/>
  <c r="AR6" i="1" l="1"/>
  <c r="AQ6" i="1"/>
  <c r="AQ3" i="1"/>
  <c r="AR3" i="1"/>
  <c r="AS6" i="1" l="1"/>
  <c r="AS3" i="1"/>
  <c r="AS140" i="1" s="1"/>
  <c r="G95" i="1" l="1"/>
  <c r="G92" i="1" l="1"/>
  <c r="G93" i="1" l="1"/>
  <c r="G90" i="1" s="1"/>
  <c r="H92" i="1"/>
  <c r="H95" i="1"/>
  <c r="G94" i="1" l="1"/>
  <c r="G120" i="1" s="1"/>
  <c r="H91" i="1"/>
  <c r="H93" i="1" s="1"/>
  <c r="I95" i="1"/>
  <c r="I92" i="1"/>
  <c r="H90" i="1" l="1"/>
  <c r="H94" i="1"/>
  <c r="I91" i="1" s="1"/>
  <c r="J92" i="1"/>
  <c r="J95" i="1"/>
  <c r="G81" i="1" l="1"/>
  <c r="H81" i="1"/>
  <c r="I81" i="1"/>
  <c r="H120" i="1"/>
  <c r="K95" i="1"/>
  <c r="K92" i="1"/>
  <c r="I93" i="1"/>
  <c r="F81" i="1"/>
  <c r="I90" i="1" l="1"/>
  <c r="L92" i="1"/>
  <c r="L95" i="1"/>
  <c r="I94" i="1"/>
  <c r="M92" i="1" l="1"/>
  <c r="M95" i="1"/>
  <c r="J91" i="1"/>
  <c r="I120" i="1"/>
  <c r="K81" i="1" l="1"/>
  <c r="J81" i="1"/>
  <c r="N92" i="1"/>
  <c r="N95" i="1"/>
  <c r="J93" i="1"/>
  <c r="J94" i="1" l="1"/>
  <c r="J120" i="1" s="1"/>
  <c r="O92" i="1"/>
  <c r="J90" i="1"/>
  <c r="O95" i="1"/>
  <c r="K91" i="1" l="1"/>
  <c r="P92" i="1"/>
  <c r="L81" i="1"/>
  <c r="P95" i="1"/>
  <c r="K93" i="1"/>
  <c r="K94" i="1" l="1"/>
  <c r="K120" i="1" s="1"/>
  <c r="M81" i="1"/>
  <c r="K90" i="1"/>
  <c r="Q92" i="1"/>
  <c r="Q95" i="1"/>
  <c r="L91" i="1" l="1"/>
  <c r="L93" i="1" s="1"/>
  <c r="N81" i="1"/>
  <c r="R95" i="1"/>
  <c r="R92" i="1"/>
  <c r="L94" i="1" l="1"/>
  <c r="M91" i="1" s="1"/>
  <c r="P81" i="1"/>
  <c r="O81" i="1"/>
  <c r="L90" i="1"/>
  <c r="S92" i="1"/>
  <c r="S95" i="1"/>
  <c r="L120" i="1" l="1"/>
  <c r="M93" i="1"/>
  <c r="Q81" i="1" l="1"/>
  <c r="M90" i="1"/>
  <c r="M94" i="1"/>
  <c r="N91" i="1" s="1"/>
  <c r="U95" i="1"/>
  <c r="U92" i="1"/>
  <c r="R81" i="1" l="1"/>
  <c r="M120" i="1"/>
  <c r="W92" i="1"/>
  <c r="V95" i="1"/>
  <c r="V92" i="1"/>
  <c r="N93" i="1"/>
  <c r="T81" i="1" l="1"/>
  <c r="S81" i="1"/>
  <c r="N90" i="1"/>
  <c r="W95" i="1"/>
  <c r="N94" i="1"/>
  <c r="O91" i="1" s="1"/>
  <c r="U81" i="1"/>
  <c r="N120" i="1" l="1"/>
  <c r="V81" i="1"/>
  <c r="X95" i="1"/>
  <c r="X92" i="1"/>
  <c r="Y95" i="1" l="1"/>
  <c r="Y92" i="1"/>
  <c r="O93" i="1"/>
  <c r="W81" i="1" l="1"/>
  <c r="O94" i="1"/>
  <c r="P91" i="1" s="1"/>
  <c r="O90" i="1"/>
  <c r="Z95" i="1"/>
  <c r="Z92" i="1"/>
  <c r="O120" i="1" l="1"/>
  <c r="P93" i="1"/>
  <c r="P94" i="1" l="1"/>
  <c r="Q91" i="1" s="1"/>
  <c r="P90" i="1"/>
  <c r="AB95" i="1"/>
  <c r="AB92" i="1"/>
  <c r="P120" i="1" l="1"/>
  <c r="AC95" i="1"/>
  <c r="Q93" i="1"/>
  <c r="Q90" i="1" l="1"/>
  <c r="Q94" i="1"/>
  <c r="AD95" i="1"/>
  <c r="Q120" i="1" l="1"/>
  <c r="R91" i="1"/>
  <c r="R93" i="1"/>
  <c r="AE95" i="1"/>
  <c r="R90" i="1" l="1"/>
  <c r="R94" i="1"/>
  <c r="S91" i="1" s="1"/>
  <c r="AF95" i="1"/>
  <c r="AG95" i="1" l="1"/>
  <c r="R120" i="1"/>
  <c r="S93" i="1"/>
  <c r="S90" i="1" l="1"/>
  <c r="S94" i="1"/>
  <c r="T91" i="1" s="1"/>
  <c r="AH95" i="1"/>
  <c r="S120" i="1" l="1"/>
  <c r="AI95" i="1"/>
  <c r="AJ95" i="1" l="1"/>
  <c r="AK95" i="1" l="1"/>
  <c r="AL95" i="1" l="1"/>
  <c r="AM92" i="1" l="1"/>
  <c r="AM95" i="1"/>
  <c r="AN92" i="1" l="1"/>
  <c r="AN95" i="1"/>
  <c r="AO92" i="1" l="1"/>
  <c r="AO95" i="1"/>
  <c r="AP95" i="1" l="1"/>
  <c r="AP92" i="1"/>
  <c r="AQ95" i="1" l="1"/>
  <c r="AQ92" i="1"/>
  <c r="AR95" i="1" l="1"/>
  <c r="AR92" i="1"/>
  <c r="AS92" i="1" l="1"/>
  <c r="AS95" i="1"/>
  <c r="AS81" i="1" l="1"/>
  <c r="X81" i="1" l="1"/>
  <c r="Y81" i="1" l="1"/>
  <c r="Z81" i="1" l="1"/>
  <c r="AR81" i="1" l="1"/>
  <c r="AQ81" i="1"/>
  <c r="AL81" i="1"/>
  <c r="AK81" i="1"/>
  <c r="AJ81" i="1"/>
  <c r="AI81" i="1"/>
  <c r="AC81" i="1" l="1"/>
  <c r="AD81" i="1" l="1"/>
  <c r="AE81" i="1" l="1"/>
  <c r="AF81" i="1" l="1"/>
  <c r="AG81" i="1" l="1"/>
  <c r="AH81" i="1" l="1"/>
  <c r="AM81" i="1" l="1"/>
  <c r="AN81" i="1" l="1"/>
  <c r="AO81" i="1" l="1"/>
  <c r="AP81" i="1" l="1"/>
  <c r="B63" i="1" l="1"/>
  <c r="M63" i="1" l="1"/>
  <c r="Z63" i="1"/>
  <c r="AL63" i="1"/>
  <c r="O63" i="1"/>
  <c r="AA63" i="1"/>
  <c r="AM63" i="1"/>
  <c r="AK63" i="1"/>
  <c r="P63" i="1"/>
  <c r="AB63" i="1"/>
  <c r="AN63" i="1"/>
  <c r="Y63" i="1"/>
  <c r="Q63" i="1"/>
  <c r="AC63" i="1"/>
  <c r="AO63" i="1"/>
  <c r="R63" i="1"/>
  <c r="AD63" i="1"/>
  <c r="AP63" i="1"/>
  <c r="S63" i="1"/>
  <c r="AE63" i="1"/>
  <c r="AQ63" i="1"/>
  <c r="G63" i="1"/>
  <c r="T63" i="1"/>
  <c r="AF63" i="1"/>
  <c r="AR63" i="1"/>
  <c r="H63" i="1"/>
  <c r="U63" i="1"/>
  <c r="AG63" i="1"/>
  <c r="AS63" i="1"/>
  <c r="I63" i="1"/>
  <c r="V63" i="1"/>
  <c r="AH63" i="1"/>
  <c r="J63" i="1"/>
  <c r="W63" i="1"/>
  <c r="AI63" i="1"/>
  <c r="L63" i="1"/>
  <c r="K63" i="1"/>
  <c r="X63" i="1"/>
  <c r="AJ63" i="1"/>
  <c r="N63" i="1"/>
  <c r="F63" i="1"/>
  <c r="C63" i="1" l="1"/>
  <c r="C55" i="1" l="1"/>
  <c r="Q23" i="1" l="1"/>
  <c r="X23" i="1" l="1"/>
  <c r="AE23" i="1" l="1"/>
  <c r="AL23" i="1" l="1"/>
  <c r="AS23" i="1"/>
  <c r="C23" i="1" l="1"/>
  <c r="C29" i="4" l="1"/>
  <c r="C101" i="1" l="1"/>
  <c r="D48" i="9"/>
  <c r="E9" i="12" s="1"/>
  <c r="S49" i="9"/>
  <c r="S47" i="9" s="1"/>
  <c r="S60" i="9" s="1"/>
  <c r="D60" i="9" s="1"/>
  <c r="S25" i="9" l="1"/>
  <c r="D47" i="9"/>
  <c r="S26" i="9"/>
  <c r="C26" i="4" s="1"/>
  <c r="D49" i="9"/>
  <c r="E73" i="12" l="1"/>
  <c r="T15" i="1"/>
  <c r="W4" i="10"/>
  <c r="D25" i="9"/>
  <c r="F9" i="12"/>
  <c r="F12" i="12" s="1"/>
  <c r="AA78" i="1"/>
  <c r="AA79" i="1"/>
  <c r="C79" i="1" s="1"/>
  <c r="S61" i="9"/>
  <c r="D61" i="9"/>
  <c r="W5" i="10" l="1"/>
  <c r="W6" i="10"/>
  <c r="W7" i="10"/>
  <c r="W8" i="10"/>
  <c r="T95" i="1"/>
  <c r="T92" i="1"/>
  <c r="E48" i="12"/>
  <c r="E43" i="12"/>
  <c r="D43" i="12" s="1"/>
  <c r="E49" i="12"/>
  <c r="D49" i="12" s="1"/>
  <c r="AL4" i="10"/>
  <c r="B15" i="1"/>
  <c r="E51" i="12"/>
  <c r="B79" i="1" s="1"/>
  <c r="E74" i="12"/>
  <c r="D74" i="12" s="1"/>
  <c r="D73" i="12"/>
  <c r="B73" i="1"/>
  <c r="B75" i="1"/>
  <c r="E52" i="12"/>
  <c r="F52" i="12" s="1"/>
  <c r="AL7" i="10"/>
  <c r="AL6" i="10"/>
  <c r="C78" i="1"/>
  <c r="AA77" i="1"/>
  <c r="T93" i="1" l="1"/>
  <c r="T90" i="1" s="1"/>
  <c r="T94" i="1"/>
  <c r="W33" i="10"/>
  <c r="AL5" i="10"/>
  <c r="F50" i="12"/>
  <c r="B78" i="1"/>
  <c r="F30" i="12"/>
  <c r="E54" i="12" s="1"/>
  <c r="F53" i="12" s="1"/>
  <c r="AK75" i="1"/>
  <c r="V75" i="1"/>
  <c r="H75" i="1"/>
  <c r="F75" i="1"/>
  <c r="AO75" i="1"/>
  <c r="AJ75" i="1"/>
  <c r="O75" i="1"/>
  <c r="AI75" i="1"/>
  <c r="AR75" i="1"/>
  <c r="M75" i="1"/>
  <c r="AH75" i="1"/>
  <c r="T75" i="1"/>
  <c r="G75" i="1"/>
  <c r="L75" i="1"/>
  <c r="S75" i="1"/>
  <c r="AN75" i="1"/>
  <c r="AS75" i="1"/>
  <c r="AG75" i="1"/>
  <c r="AM75" i="1"/>
  <c r="X75" i="1"/>
  <c r="Q75" i="1"/>
  <c r="AL75" i="1"/>
  <c r="AP75" i="1"/>
  <c r="AQ75" i="1"/>
  <c r="Y75" i="1"/>
  <c r="J75" i="1"/>
  <c r="AC75" i="1"/>
  <c r="R75" i="1"/>
  <c r="AA75" i="1"/>
  <c r="AF75" i="1"/>
  <c r="AD75" i="1"/>
  <c r="K75" i="1"/>
  <c r="P75" i="1"/>
  <c r="AB75" i="1"/>
  <c r="I75" i="1"/>
  <c r="AE75" i="1"/>
  <c r="N75" i="1"/>
  <c r="W75" i="1"/>
  <c r="U75" i="1"/>
  <c r="Z75" i="1"/>
  <c r="C77" i="1"/>
  <c r="C32" i="4" s="1"/>
  <c r="B77" i="1"/>
  <c r="O73" i="1"/>
  <c r="AA73" i="1"/>
  <c r="B40" i="1"/>
  <c r="M73" i="1"/>
  <c r="AG73" i="1"/>
  <c r="AO73" i="1"/>
  <c r="Z73" i="1"/>
  <c r="X73" i="1"/>
  <c r="AM73" i="1"/>
  <c r="AC73" i="1"/>
  <c r="Q73" i="1"/>
  <c r="F73" i="1"/>
  <c r="W73" i="1"/>
  <c r="AH73" i="1"/>
  <c r="R73" i="1"/>
  <c r="AE73" i="1"/>
  <c r="U73" i="1"/>
  <c r="AJ73" i="1"/>
  <c r="V73" i="1"/>
  <c r="AL73" i="1"/>
  <c r="H73" i="1"/>
  <c r="AB73" i="1"/>
  <c r="T73" i="1"/>
  <c r="G73" i="1"/>
  <c r="N73" i="1"/>
  <c r="AF73" i="1"/>
  <c r="AK73" i="1"/>
  <c r="P73" i="1"/>
  <c r="Y73" i="1"/>
  <c r="AI73" i="1"/>
  <c r="AP73" i="1"/>
  <c r="L73" i="1"/>
  <c r="AN73" i="1"/>
  <c r="K73" i="1"/>
  <c r="AD73" i="1"/>
  <c r="AR73" i="1"/>
  <c r="S73" i="1"/>
  <c r="J73" i="1"/>
  <c r="AQ73" i="1"/>
  <c r="I73" i="1"/>
  <c r="AS73" i="1"/>
  <c r="U91" i="1" l="1"/>
  <c r="T120" i="1"/>
  <c r="AK40" i="1"/>
  <c r="AK18" i="1" s="1"/>
  <c r="AK133" i="1" s="1"/>
  <c r="S40" i="1"/>
  <c r="S18" i="1" s="1"/>
  <c r="S132" i="1" s="1"/>
  <c r="S98" i="1" s="1"/>
  <c r="H40" i="1"/>
  <c r="H18" i="1" s="1"/>
  <c r="U40" i="1"/>
  <c r="U18" i="1" s="1"/>
  <c r="AM40" i="1"/>
  <c r="AM18" i="1" s="1"/>
  <c r="AM133" i="1" s="1"/>
  <c r="L40" i="1"/>
  <c r="L18" i="1" s="1"/>
  <c r="L132" i="1" s="1"/>
  <c r="L98" i="1" s="1"/>
  <c r="AL40" i="1"/>
  <c r="AL18" i="1" s="1"/>
  <c r="AL8" i="10"/>
  <c r="AL33" i="10" s="1"/>
  <c r="AD40" i="1"/>
  <c r="AD18" i="1" s="1"/>
  <c r="AP40" i="1"/>
  <c r="AP18" i="1" s="1"/>
  <c r="AP132" i="1" s="1"/>
  <c r="AP98" i="1" s="1"/>
  <c r="I40" i="1"/>
  <c r="I18" i="1" s="1"/>
  <c r="I133" i="1" s="1"/>
  <c r="AO40" i="1"/>
  <c r="AO18" i="1" s="1"/>
  <c r="AO132" i="1" s="1"/>
  <c r="AO98" i="1" s="1"/>
  <c r="AS40" i="1"/>
  <c r="AS18" i="1" s="1"/>
  <c r="AS132" i="1" s="1"/>
  <c r="AS98" i="1" s="1"/>
  <c r="N40" i="1"/>
  <c r="N18" i="1" s="1"/>
  <c r="N133" i="1" s="1"/>
  <c r="AA40" i="1"/>
  <c r="AA18" i="1" s="1"/>
  <c r="AA132" i="1" s="1"/>
  <c r="AA98" i="1" s="1"/>
  <c r="Y40" i="1"/>
  <c r="Y18" i="1" s="1"/>
  <c r="Y132" i="1" s="1"/>
  <c r="Y98" i="1" s="1"/>
  <c r="AR40" i="1"/>
  <c r="AR18" i="1" s="1"/>
  <c r="AR132" i="1" s="1"/>
  <c r="AR98" i="1" s="1"/>
  <c r="AN40" i="1"/>
  <c r="AN18" i="1" s="1"/>
  <c r="AN132" i="1" s="1"/>
  <c r="AN98" i="1" s="1"/>
  <c r="V40" i="1"/>
  <c r="V18" i="1" s="1"/>
  <c r="V133" i="1" s="1"/>
  <c r="J40" i="1"/>
  <c r="J18" i="1" s="1"/>
  <c r="J132" i="1" s="1"/>
  <c r="J98" i="1" s="1"/>
  <c r="AF40" i="1"/>
  <c r="AF18" i="1" s="1"/>
  <c r="AF132" i="1" s="1"/>
  <c r="AF98" i="1" s="1"/>
  <c r="AB40" i="1"/>
  <c r="AB18" i="1" s="1"/>
  <c r="AB132" i="1" s="1"/>
  <c r="AB98" i="1" s="1"/>
  <c r="AJ40" i="1"/>
  <c r="AJ18" i="1" s="1"/>
  <c r="AJ133" i="1" s="1"/>
  <c r="W40" i="1"/>
  <c r="W18" i="1" s="1"/>
  <c r="W133" i="1" s="1"/>
  <c r="AG40" i="1"/>
  <c r="AG18" i="1" s="1"/>
  <c r="AG133" i="1" s="1"/>
  <c r="P40" i="1"/>
  <c r="P18" i="1" s="1"/>
  <c r="P133" i="1" s="1"/>
  <c r="G40" i="1"/>
  <c r="G18" i="1" s="1"/>
  <c r="G132" i="1" s="1"/>
  <c r="G98" i="1" s="1"/>
  <c r="AC40" i="1"/>
  <c r="AC18" i="1" s="1"/>
  <c r="AC132" i="1" s="1"/>
  <c r="AC98" i="1" s="1"/>
  <c r="X40" i="1"/>
  <c r="X18" i="1" s="1"/>
  <c r="X133" i="1" s="1"/>
  <c r="R40" i="1"/>
  <c r="R18" i="1" s="1"/>
  <c r="R132" i="1" s="1"/>
  <c r="R98" i="1" s="1"/>
  <c r="Z40" i="1"/>
  <c r="Z18" i="1" s="1"/>
  <c r="Z132" i="1" s="1"/>
  <c r="Z98" i="1" s="1"/>
  <c r="K40" i="1"/>
  <c r="K18" i="1" s="1"/>
  <c r="K132" i="1" s="1"/>
  <c r="K98" i="1" s="1"/>
  <c r="AI40" i="1"/>
  <c r="AI18" i="1" s="1"/>
  <c r="AI132" i="1" s="1"/>
  <c r="AI98" i="1" s="1"/>
  <c r="M40" i="1"/>
  <c r="M18" i="1" s="1"/>
  <c r="M133" i="1" s="1"/>
  <c r="AE40" i="1"/>
  <c r="AE18" i="1" s="1"/>
  <c r="AE132" i="1" s="1"/>
  <c r="AE98" i="1" s="1"/>
  <c r="AQ40" i="1"/>
  <c r="AQ18" i="1" s="1"/>
  <c r="AQ132" i="1" s="1"/>
  <c r="AQ98" i="1" s="1"/>
  <c r="H132" i="1"/>
  <c r="H98" i="1" s="1"/>
  <c r="H133" i="1"/>
  <c r="AL132" i="1"/>
  <c r="AL98" i="1" s="1"/>
  <c r="AL133" i="1"/>
  <c r="AA95" i="1"/>
  <c r="C95" i="1" s="1"/>
  <c r="C15" i="1"/>
  <c r="AA92" i="1"/>
  <c r="U132" i="1"/>
  <c r="U98" i="1" s="1"/>
  <c r="U133" i="1"/>
  <c r="AK132" i="1"/>
  <c r="AK98" i="1" s="1"/>
  <c r="B18" i="1"/>
  <c r="AH40" i="1"/>
  <c r="AH18" i="1" s="1"/>
  <c r="C75" i="1"/>
  <c r="O40" i="1"/>
  <c r="O18" i="1" s="1"/>
  <c r="S133" i="1"/>
  <c r="C73" i="1"/>
  <c r="F40" i="1"/>
  <c r="L133" i="1"/>
  <c r="T40" i="1"/>
  <c r="T18" i="1" s="1"/>
  <c r="Q40" i="1"/>
  <c r="Q18" i="1" s="1"/>
  <c r="H54" i="12"/>
  <c r="B85" i="1"/>
  <c r="AB85" i="1" s="1"/>
  <c r="AD133" i="1" l="1"/>
  <c r="U93" i="1"/>
  <c r="U90" i="1" s="1"/>
  <c r="I132" i="1"/>
  <c r="I98" i="1" s="1"/>
  <c r="AM132" i="1"/>
  <c r="AM98" i="1" s="1"/>
  <c r="AD132" i="1"/>
  <c r="AD98" i="1" s="1"/>
  <c r="AP133" i="1"/>
  <c r="AL26" i="10"/>
  <c r="AO133" i="1"/>
  <c r="Y133" i="1"/>
  <c r="X132" i="1"/>
  <c r="X98" i="1" s="1"/>
  <c r="AB133" i="1"/>
  <c r="AR133" i="1"/>
  <c r="AS133" i="1"/>
  <c r="N132" i="1"/>
  <c r="N98" i="1" s="1"/>
  <c r="AN133" i="1"/>
  <c r="Z133" i="1"/>
  <c r="V132" i="1"/>
  <c r="V98" i="1" s="1"/>
  <c r="G133" i="1"/>
  <c r="AJ132" i="1"/>
  <c r="AJ98" i="1" s="1"/>
  <c r="AG132" i="1"/>
  <c r="AG98" i="1" s="1"/>
  <c r="AF133" i="1"/>
  <c r="W132" i="1"/>
  <c r="W98" i="1" s="1"/>
  <c r="AI133" i="1"/>
  <c r="J133" i="1"/>
  <c r="AC133" i="1"/>
  <c r="R133" i="1"/>
  <c r="P132" i="1"/>
  <c r="P98" i="1" s="1"/>
  <c r="M132" i="1"/>
  <c r="M98" i="1" s="1"/>
  <c r="D19" i="1"/>
  <c r="AE133" i="1"/>
  <c r="K133" i="1"/>
  <c r="AQ133" i="1"/>
  <c r="C92" i="1"/>
  <c r="C19" i="4"/>
  <c r="AH132" i="1"/>
  <c r="AH98" i="1" s="1"/>
  <c r="AH133" i="1"/>
  <c r="O132" i="1"/>
  <c r="O98" i="1" s="1"/>
  <c r="O133" i="1"/>
  <c r="Q132" i="1"/>
  <c r="Q98" i="1" s="1"/>
  <c r="Q133" i="1"/>
  <c r="T132" i="1"/>
  <c r="T98" i="1" s="1"/>
  <c r="T133" i="1"/>
  <c r="C40" i="1"/>
  <c r="C31" i="4" s="1"/>
  <c r="F18" i="1"/>
  <c r="U94" i="1" l="1"/>
  <c r="V91" i="1"/>
  <c r="U120" i="1"/>
  <c r="C85" i="1"/>
  <c r="C18" i="1"/>
  <c r="F133" i="1"/>
  <c r="C27" i="4"/>
  <c r="C33" i="4" s="1"/>
  <c r="V93" i="1" l="1"/>
  <c r="V90" i="1" s="1"/>
  <c r="C34" i="4"/>
  <c r="V94" i="1" l="1"/>
  <c r="W91" i="1"/>
  <c r="V120" i="1"/>
  <c r="W93" i="1" l="1"/>
  <c r="W90" i="1" s="1"/>
  <c r="W94" i="1" l="1"/>
  <c r="X91" i="1"/>
  <c r="W120" i="1"/>
  <c r="X93" i="1" l="1"/>
  <c r="X90" i="1" s="1"/>
  <c r="X94" i="1" l="1"/>
  <c r="Y91" i="1" s="1"/>
  <c r="X120" i="1" l="1"/>
  <c r="Y93" i="1"/>
  <c r="Y90" i="1" s="1"/>
  <c r="Y94" i="1" l="1"/>
  <c r="Z91" i="1"/>
  <c r="Y120" i="1"/>
  <c r="Z93" i="1" l="1"/>
  <c r="Z90" i="1" s="1"/>
  <c r="Z94" i="1" l="1"/>
  <c r="AA91" i="1"/>
  <c r="AA93" i="1" s="1"/>
  <c r="Z120" i="1"/>
  <c r="AA94" i="1" l="1"/>
  <c r="AA90" i="1"/>
  <c r="AB91" i="1" l="1"/>
  <c r="AA120" i="1"/>
  <c r="AB93" i="1" l="1"/>
  <c r="AB90" i="1" s="1"/>
  <c r="AB94" i="1"/>
  <c r="AC91" i="1" l="1"/>
  <c r="AB120" i="1"/>
  <c r="AC93" i="1" l="1"/>
  <c r="AC90" i="1" s="1"/>
  <c r="AC94" i="1" l="1"/>
  <c r="AD91" i="1" s="1"/>
  <c r="AD93" i="1" s="1"/>
  <c r="AC120" i="1"/>
  <c r="AD94" i="1" l="1"/>
  <c r="AD90" i="1"/>
  <c r="AE91" i="1" l="1"/>
  <c r="AD120" i="1"/>
  <c r="AE93" i="1" l="1"/>
  <c r="AE90" i="1" s="1"/>
  <c r="AE94" i="1" l="1"/>
  <c r="AF91" i="1" s="1"/>
  <c r="AF93" i="1" s="1"/>
  <c r="AE120" i="1" l="1"/>
  <c r="AF94" i="1"/>
  <c r="AF90" i="1"/>
  <c r="AG91" i="1" l="1"/>
  <c r="AG93" i="1" s="1"/>
  <c r="AF120" i="1"/>
  <c r="AG94" i="1" l="1"/>
  <c r="AG90" i="1"/>
  <c r="AH91" i="1" l="1"/>
  <c r="AH93" i="1" s="1"/>
  <c r="AG120" i="1"/>
  <c r="AH94" i="1" l="1"/>
  <c r="AI91" i="1" s="1"/>
  <c r="AH90" i="1"/>
  <c r="AH120" i="1" l="1"/>
  <c r="AI93" i="1" l="1"/>
  <c r="AI90" i="1" s="1"/>
  <c r="AI94" i="1" l="1"/>
  <c r="AJ91" i="1" s="1"/>
  <c r="AI120" i="1" l="1"/>
  <c r="AJ93" i="1"/>
  <c r="AJ90" i="1" s="1"/>
  <c r="AJ94" i="1" l="1"/>
  <c r="AK91" i="1" s="1"/>
  <c r="AJ120" i="1" l="1"/>
  <c r="AK93" i="1"/>
  <c r="AK90" i="1" s="1"/>
  <c r="AK94" i="1" l="1"/>
  <c r="AL91" i="1" s="1"/>
  <c r="AL93" i="1" s="1"/>
  <c r="AK120" i="1"/>
  <c r="AL94" i="1" l="1"/>
  <c r="AL90" i="1"/>
  <c r="AM91" i="1" l="1"/>
  <c r="AL120" i="1"/>
  <c r="AM93" i="1" l="1"/>
  <c r="AM90" i="1" s="1"/>
  <c r="AM94" i="1" l="1"/>
  <c r="AN91" i="1" s="1"/>
  <c r="AN93" i="1" s="1"/>
  <c r="AM120" i="1" l="1"/>
  <c r="AN94" i="1"/>
  <c r="AN90" i="1"/>
  <c r="AO91" i="1" l="1"/>
  <c r="AO93" i="1" s="1"/>
  <c r="AN120" i="1"/>
  <c r="AO94" i="1" l="1"/>
  <c r="AO90" i="1"/>
  <c r="AP91" i="1" l="1"/>
  <c r="AO120" i="1"/>
  <c r="AP93" i="1" l="1"/>
  <c r="AP90" i="1" s="1"/>
  <c r="AP94" i="1" l="1"/>
  <c r="AQ91" i="1" s="1"/>
  <c r="AQ93" i="1" s="1"/>
  <c r="AP120" i="1" l="1"/>
  <c r="AQ94" i="1"/>
  <c r="AQ90" i="1"/>
  <c r="AR91" i="1" l="1"/>
  <c r="AQ120" i="1"/>
  <c r="AR93" i="1" l="1"/>
  <c r="AR90" i="1" s="1"/>
  <c r="AR94" i="1" l="1"/>
  <c r="AS91" i="1"/>
  <c r="AR120" i="1"/>
  <c r="C91" i="1" l="1"/>
  <c r="AS93" i="1"/>
  <c r="AS94" i="1" s="1"/>
  <c r="C94" i="1" l="1"/>
  <c r="AS120" i="1"/>
  <c r="AS90" i="1"/>
  <c r="C90" i="1" s="1"/>
  <c r="C93" i="1"/>
  <c r="H55" i="12" l="1"/>
  <c r="B86" i="1"/>
  <c r="F68" i="12" l="1"/>
  <c r="F111" i="1"/>
  <c r="C111" i="1" s="1"/>
  <c r="B81" i="1"/>
  <c r="AB86" i="1"/>
  <c r="AA81" i="1" l="1"/>
  <c r="AA133" i="1" s="1"/>
  <c r="C86" i="1"/>
  <c r="C81" i="1" s="1"/>
  <c r="F132" i="1"/>
  <c r="C132" i="1" l="1"/>
  <c r="C39" i="4" s="1"/>
  <c r="F98" i="1"/>
  <c r="D153" i="1"/>
  <c r="C35" i="4"/>
  <c r="C133" i="1"/>
  <c r="C38" i="4" l="1"/>
  <c r="C98" i="1"/>
  <c r="F107" i="1"/>
  <c r="C62" i="4"/>
  <c r="C36" i="4" l="1"/>
  <c r="F108" i="1"/>
  <c r="F109" i="1" s="1"/>
  <c r="F100" i="1" l="1"/>
  <c r="F110" i="1"/>
  <c r="F99" i="1" l="1"/>
  <c r="F134" i="1"/>
  <c r="F113" i="1" l="1"/>
  <c r="F127" i="1" s="1"/>
  <c r="F106" i="1"/>
  <c r="F136" i="1" l="1"/>
  <c r="F137" i="1"/>
  <c r="G103" i="1"/>
  <c r="F121" i="1"/>
  <c r="F145" i="1"/>
  <c r="G97" i="1"/>
  <c r="G135" i="1" l="1"/>
  <c r="F138" i="1"/>
  <c r="G124" i="1"/>
  <c r="G122" i="1"/>
  <c r="G123" i="1" l="1"/>
  <c r="G125" i="1" s="1"/>
  <c r="G107" i="1" s="1"/>
  <c r="G108" i="1" l="1"/>
  <c r="G109" i="1" s="1"/>
  <c r="G110" i="1" l="1"/>
  <c r="G100" i="1"/>
  <c r="G99" i="1" l="1"/>
  <c r="G134" i="1"/>
  <c r="G113" i="1" l="1"/>
  <c r="G127" i="1" s="1"/>
  <c r="G106" i="1"/>
  <c r="G136" i="1" l="1"/>
  <c r="G145" i="1"/>
  <c r="H103" i="1"/>
  <c r="H97" i="1"/>
  <c r="G121" i="1"/>
  <c r="G137" i="1"/>
  <c r="H124" i="1" l="1"/>
  <c r="H122" i="1"/>
  <c r="G138" i="1"/>
  <c r="H135" i="1"/>
  <c r="H123" i="1" l="1"/>
  <c r="H125" i="1" s="1"/>
  <c r="H107" i="1" s="1"/>
  <c r="H108" i="1" l="1"/>
  <c r="H109" i="1"/>
  <c r="H110" i="1" l="1"/>
  <c r="H100" i="1"/>
  <c r="H99" i="1" l="1"/>
  <c r="H134" i="1"/>
  <c r="H113" i="1" l="1"/>
  <c r="H127" i="1" s="1"/>
  <c r="H106" i="1"/>
  <c r="H145" i="1" l="1"/>
  <c r="I103" i="1"/>
  <c r="I97" i="1"/>
  <c r="H121" i="1"/>
  <c r="H136" i="1"/>
  <c r="H137" i="1" l="1"/>
  <c r="I124" i="1"/>
  <c r="I122" i="1"/>
  <c r="I123" i="1" l="1"/>
  <c r="I125" i="1" s="1"/>
  <c r="I107" i="1" s="1"/>
  <c r="I135" i="1"/>
  <c r="H138" i="1"/>
  <c r="I108" i="1" l="1"/>
  <c r="I109" i="1" s="1"/>
  <c r="I110" i="1" s="1"/>
  <c r="I100" i="1" l="1"/>
  <c r="I99" i="1" l="1"/>
  <c r="I134" i="1"/>
  <c r="I113" i="1" l="1"/>
  <c r="I127" i="1" s="1"/>
  <c r="I106" i="1"/>
  <c r="I145" i="1" l="1"/>
  <c r="J103" i="1"/>
  <c r="J97" i="1"/>
  <c r="I121" i="1"/>
  <c r="I136" i="1"/>
  <c r="I137" i="1" l="1"/>
  <c r="J124" i="1"/>
  <c r="J122" i="1"/>
  <c r="J123" i="1" l="1"/>
  <c r="J125" i="1" s="1"/>
  <c r="J107" i="1" s="1"/>
  <c r="I138" i="1"/>
  <c r="J135" i="1"/>
  <c r="J108" i="1" l="1"/>
  <c r="J109" i="1" s="1"/>
  <c r="J110" i="1" s="1"/>
  <c r="J100" i="1" l="1"/>
  <c r="J99" i="1" l="1"/>
  <c r="J134" i="1"/>
  <c r="J113" i="1" l="1"/>
  <c r="J127" i="1" s="1"/>
  <c r="J106" i="1"/>
  <c r="J145" i="1" l="1"/>
  <c r="K103" i="1"/>
  <c r="K97" i="1"/>
  <c r="J121" i="1"/>
  <c r="J136" i="1"/>
  <c r="J137" i="1" l="1"/>
  <c r="K124" i="1"/>
  <c r="K122" i="1"/>
  <c r="K123" i="1" l="1"/>
  <c r="K125" i="1"/>
  <c r="K107" i="1" s="1"/>
  <c r="J138" i="1"/>
  <c r="K135" i="1"/>
  <c r="K108" i="1" l="1"/>
  <c r="K100" i="1" s="1"/>
  <c r="K109" i="1"/>
  <c r="K110" i="1" s="1"/>
  <c r="K99" i="1" l="1"/>
  <c r="K134" i="1"/>
  <c r="K113" i="1" l="1"/>
  <c r="K127" i="1" s="1"/>
  <c r="K106" i="1"/>
  <c r="L103" i="1" l="1"/>
  <c r="K145" i="1"/>
  <c r="L97" i="1"/>
  <c r="K121" i="1"/>
  <c r="K136" i="1"/>
  <c r="K137" i="1" s="1"/>
  <c r="L135" i="1" l="1"/>
  <c r="K138" i="1"/>
  <c r="L124" i="1"/>
  <c r="L122" i="1"/>
  <c r="L123" i="1" l="1"/>
  <c r="L125" i="1" s="1"/>
  <c r="L107" i="1" s="1"/>
  <c r="L108" i="1" l="1"/>
  <c r="L100" i="1" s="1"/>
  <c r="L109" i="1" l="1"/>
  <c r="L110" i="1" s="1"/>
  <c r="L99" i="1"/>
  <c r="L134" i="1"/>
  <c r="L113" i="1" l="1"/>
  <c r="L127" i="1" s="1"/>
  <c r="L106" i="1"/>
  <c r="M103" i="1" l="1"/>
  <c r="L145" i="1"/>
  <c r="M97" i="1"/>
  <c r="L121" i="1"/>
  <c r="L136" i="1"/>
  <c r="L137" i="1" s="1"/>
  <c r="M135" i="1" l="1"/>
  <c r="L138" i="1"/>
  <c r="M122" i="1"/>
  <c r="M124" i="1"/>
  <c r="M123" i="1" l="1"/>
  <c r="M125" i="1" s="1"/>
  <c r="M107" i="1" s="1"/>
  <c r="M108" i="1" l="1"/>
  <c r="M100" i="1" s="1"/>
  <c r="M109" i="1"/>
  <c r="M110" i="1" s="1"/>
  <c r="M99" i="1" l="1"/>
  <c r="M134" i="1"/>
  <c r="M113" i="1" l="1"/>
  <c r="M127" i="1" s="1"/>
  <c r="M106" i="1"/>
  <c r="M145" i="1" l="1"/>
  <c r="N103" i="1"/>
  <c r="N97" i="1"/>
  <c r="M121" i="1"/>
  <c r="M136" i="1"/>
  <c r="M137" i="1" s="1"/>
  <c r="M138" i="1" l="1"/>
  <c r="N135" i="1"/>
  <c r="N124" i="1"/>
  <c r="N122" i="1"/>
  <c r="N123" i="1" l="1"/>
  <c r="N125" i="1" s="1"/>
  <c r="N107" i="1" s="1"/>
  <c r="N108" i="1" l="1"/>
  <c r="N100" i="1" s="1"/>
  <c r="N99" i="1" l="1"/>
  <c r="N134" i="1"/>
  <c r="N109" i="1"/>
  <c r="N110" i="1" s="1"/>
  <c r="N113" i="1" l="1"/>
  <c r="N127" i="1" s="1"/>
  <c r="N106" i="1"/>
  <c r="N145" i="1" l="1"/>
  <c r="O103" i="1"/>
  <c r="O97" i="1"/>
  <c r="N121" i="1"/>
  <c r="N136" i="1"/>
  <c r="N137" i="1" s="1"/>
  <c r="N138" i="1" l="1"/>
  <c r="O135" i="1"/>
  <c r="O124" i="1"/>
  <c r="O122" i="1"/>
  <c r="O123" i="1" l="1"/>
  <c r="O125" i="1" s="1"/>
  <c r="O107" i="1" s="1"/>
  <c r="O108" i="1" l="1"/>
  <c r="O100" i="1" s="1"/>
  <c r="O109" i="1"/>
  <c r="O110" i="1" s="1"/>
  <c r="O99" i="1" l="1"/>
  <c r="O134" i="1"/>
  <c r="O113" i="1" l="1"/>
  <c r="O127" i="1" s="1"/>
  <c r="O106" i="1"/>
  <c r="O145" i="1" l="1"/>
  <c r="P103" i="1"/>
  <c r="P97" i="1"/>
  <c r="O121" i="1"/>
  <c r="O136" i="1"/>
  <c r="O137" i="1" s="1"/>
  <c r="O138" i="1" l="1"/>
  <c r="P135" i="1"/>
  <c r="P124" i="1"/>
  <c r="P122" i="1"/>
  <c r="P123" i="1" l="1"/>
  <c r="P125" i="1" s="1"/>
  <c r="P107" i="1" s="1"/>
  <c r="P108" i="1" l="1"/>
  <c r="P100" i="1" s="1"/>
  <c r="P109" i="1" l="1"/>
  <c r="P110" i="1" s="1"/>
  <c r="P99" i="1"/>
  <c r="P134" i="1"/>
  <c r="P113" i="1" l="1"/>
  <c r="P127" i="1" s="1"/>
  <c r="P106" i="1"/>
  <c r="Q103" i="1" l="1"/>
  <c r="P145" i="1"/>
  <c r="Q97" i="1"/>
  <c r="P121" i="1"/>
  <c r="P136" i="1"/>
  <c r="P137" i="1" s="1"/>
  <c r="P138" i="1" l="1"/>
  <c r="Q135" i="1"/>
  <c r="Q122" i="1"/>
  <c r="Q124" i="1"/>
  <c r="Q123" i="1" l="1"/>
  <c r="Q125" i="1"/>
  <c r="Q107" i="1" s="1"/>
  <c r="Q108" i="1" l="1"/>
  <c r="Q100" i="1" s="1"/>
  <c r="Q99" i="1" l="1"/>
  <c r="Q134" i="1"/>
  <c r="Q109" i="1"/>
  <c r="Q110" i="1" s="1"/>
  <c r="Q113" i="1" l="1"/>
  <c r="Q127" i="1" s="1"/>
  <c r="Q106" i="1"/>
  <c r="R103" i="1" l="1"/>
  <c r="Q145" i="1"/>
  <c r="R97" i="1"/>
  <c r="Q121" i="1"/>
  <c r="Q136" i="1"/>
  <c r="Q137" i="1" s="1"/>
  <c r="R135" i="1" l="1"/>
  <c r="Q138" i="1"/>
  <c r="R124" i="1"/>
  <c r="R122" i="1"/>
  <c r="R123" i="1" l="1"/>
  <c r="R125" i="1" s="1"/>
  <c r="R107" i="1" s="1"/>
  <c r="R108" i="1" l="1"/>
  <c r="R100" i="1" s="1"/>
  <c r="R109" i="1"/>
  <c r="R110" i="1" s="1"/>
  <c r="R99" i="1" l="1"/>
  <c r="R134" i="1"/>
  <c r="R113" i="1" l="1"/>
  <c r="R127" i="1" s="1"/>
  <c r="R106" i="1"/>
  <c r="R145" i="1" l="1"/>
  <c r="S103" i="1"/>
  <c r="S97" i="1"/>
  <c r="R121" i="1"/>
  <c r="R136" i="1"/>
  <c r="R137" i="1" s="1"/>
  <c r="R138" i="1" l="1"/>
  <c r="S135" i="1"/>
  <c r="S122" i="1"/>
  <c r="S124" i="1"/>
  <c r="S123" i="1" l="1"/>
  <c r="S125" i="1" s="1"/>
  <c r="S107" i="1" s="1"/>
  <c r="S108" i="1" l="1"/>
  <c r="S100" i="1" s="1"/>
  <c r="S99" i="1" l="1"/>
  <c r="S134" i="1"/>
  <c r="S109" i="1"/>
  <c r="S110" i="1" s="1"/>
  <c r="S113" i="1" l="1"/>
  <c r="S127" i="1" s="1"/>
  <c r="S106" i="1"/>
  <c r="T103" i="1" l="1"/>
  <c r="S145" i="1"/>
  <c r="T97" i="1"/>
  <c r="S121" i="1"/>
  <c r="S136" i="1"/>
  <c r="S137" i="1" s="1"/>
  <c r="T135" i="1" l="1"/>
  <c r="S138" i="1"/>
  <c r="T122" i="1"/>
  <c r="T124" i="1"/>
  <c r="T123" i="1" l="1"/>
  <c r="T125" i="1" s="1"/>
  <c r="T107" i="1" s="1"/>
  <c r="T108" i="1" l="1"/>
  <c r="T100" i="1" s="1"/>
  <c r="T99" i="1" l="1"/>
  <c r="T134" i="1"/>
  <c r="T109" i="1"/>
  <c r="T110" i="1" s="1"/>
  <c r="T113" i="1" l="1"/>
  <c r="T127" i="1" s="1"/>
  <c r="T106" i="1"/>
  <c r="T145" i="1" l="1"/>
  <c r="U103" i="1"/>
  <c r="U97" i="1"/>
  <c r="T121" i="1"/>
  <c r="T136" i="1"/>
  <c r="T137" i="1" s="1"/>
  <c r="T138" i="1" l="1"/>
  <c r="U135" i="1"/>
  <c r="U124" i="1"/>
  <c r="U122" i="1"/>
  <c r="U123" i="1" l="1"/>
  <c r="U125" i="1" s="1"/>
  <c r="U107" i="1" s="1"/>
  <c r="U108" i="1" l="1"/>
  <c r="U100" i="1" s="1"/>
  <c r="U99" i="1" l="1"/>
  <c r="U134" i="1"/>
  <c r="U109" i="1"/>
  <c r="U110" i="1" s="1"/>
  <c r="U113" i="1" l="1"/>
  <c r="U127" i="1" s="1"/>
  <c r="U106" i="1"/>
  <c r="U145" i="1" l="1"/>
  <c r="V103" i="1"/>
  <c r="V97" i="1"/>
  <c r="U121" i="1"/>
  <c r="U136" i="1"/>
  <c r="U137" i="1" s="1"/>
  <c r="V135" i="1" l="1"/>
  <c r="U138" i="1"/>
  <c r="V124" i="1"/>
  <c r="V122" i="1"/>
  <c r="V123" i="1" l="1"/>
  <c r="V125" i="1" s="1"/>
  <c r="V107" i="1" s="1"/>
  <c r="V108" i="1" l="1"/>
  <c r="V100" i="1" s="1"/>
  <c r="V99" i="1" l="1"/>
  <c r="V134" i="1"/>
  <c r="V109" i="1"/>
  <c r="V110" i="1" s="1"/>
  <c r="V113" i="1" l="1"/>
  <c r="V127" i="1" s="1"/>
  <c r="V106" i="1"/>
  <c r="V145" i="1" l="1"/>
  <c r="W103" i="1"/>
  <c r="W97" i="1"/>
  <c r="V121" i="1"/>
  <c r="V136" i="1"/>
  <c r="V137" i="1" s="1"/>
  <c r="W135" i="1" l="1"/>
  <c r="V138" i="1"/>
  <c r="W124" i="1"/>
  <c r="W122" i="1"/>
  <c r="W123" i="1" l="1"/>
  <c r="W125" i="1"/>
  <c r="W107" i="1" s="1"/>
  <c r="W108" i="1" l="1"/>
  <c r="W100" i="1" s="1"/>
  <c r="W109" i="1" l="1"/>
  <c r="W110" i="1" s="1"/>
  <c r="W99" i="1"/>
  <c r="W134" i="1"/>
  <c r="W113" i="1" l="1"/>
  <c r="W127" i="1" s="1"/>
  <c r="W106" i="1"/>
  <c r="W145" i="1" l="1"/>
  <c r="X103" i="1"/>
  <c r="X97" i="1"/>
  <c r="W121" i="1"/>
  <c r="W136" i="1"/>
  <c r="W137" i="1" s="1"/>
  <c r="W138" i="1" l="1"/>
  <c r="X135" i="1"/>
  <c r="X122" i="1"/>
  <c r="X124" i="1"/>
  <c r="X123" i="1" l="1"/>
  <c r="X125" i="1" s="1"/>
  <c r="X107" i="1" s="1"/>
  <c r="X108" i="1" l="1"/>
  <c r="X100" i="1" s="1"/>
  <c r="X99" i="1" l="1"/>
  <c r="X134" i="1"/>
  <c r="X109" i="1"/>
  <c r="X110" i="1" s="1"/>
  <c r="X113" i="1" l="1"/>
  <c r="X127" i="1" s="1"/>
  <c r="X106" i="1"/>
  <c r="Y103" i="1" l="1"/>
  <c r="X145" i="1"/>
  <c r="Y97" i="1"/>
  <c r="X121" i="1"/>
  <c r="X136" i="1"/>
  <c r="X137" i="1" s="1"/>
  <c r="Y135" i="1" l="1"/>
  <c r="X138" i="1"/>
  <c r="Y124" i="1"/>
  <c r="Y122" i="1"/>
  <c r="Y123" i="1" l="1"/>
  <c r="Y125" i="1" s="1"/>
  <c r="Y107" i="1" s="1"/>
  <c r="Y108" i="1" l="1"/>
  <c r="Y100" i="1" s="1"/>
  <c r="Y99" i="1" l="1"/>
  <c r="Y134" i="1"/>
  <c r="Y109" i="1"/>
  <c r="Y110" i="1" s="1"/>
  <c r="Y113" i="1" l="1"/>
  <c r="Y127" i="1" s="1"/>
  <c r="Y106" i="1"/>
  <c r="Z103" i="1" l="1"/>
  <c r="Y145" i="1"/>
  <c r="Z97" i="1"/>
  <c r="Y121" i="1"/>
  <c r="Y136" i="1"/>
  <c r="Y137" i="1" s="1"/>
  <c r="Y138" i="1" l="1"/>
  <c r="Z135" i="1"/>
  <c r="Z124" i="1"/>
  <c r="Z122" i="1"/>
  <c r="Z123" i="1" l="1"/>
  <c r="Z125" i="1" s="1"/>
  <c r="Z107" i="1" s="1"/>
  <c r="Z108" i="1" l="1"/>
  <c r="Z100" i="1" s="1"/>
  <c r="Z99" i="1" l="1"/>
  <c r="Z134" i="1"/>
  <c r="Z109" i="1"/>
  <c r="Z110" i="1" s="1"/>
  <c r="Z113" i="1" l="1"/>
  <c r="Z127" i="1" s="1"/>
  <c r="Z106" i="1"/>
  <c r="AA103" i="1" l="1"/>
  <c r="Z145" i="1"/>
  <c r="AA97" i="1"/>
  <c r="Z121" i="1"/>
  <c r="Z136" i="1"/>
  <c r="Z137" i="1" s="1"/>
  <c r="AA135" i="1" l="1"/>
  <c r="Z138" i="1"/>
  <c r="AA124" i="1"/>
  <c r="AA122" i="1"/>
  <c r="AA123" i="1" l="1"/>
  <c r="AA125" i="1" s="1"/>
  <c r="AA107" i="1" s="1"/>
  <c r="AA108" i="1" l="1"/>
  <c r="AA100" i="1" s="1"/>
  <c r="AA109" i="1" l="1"/>
  <c r="AA110" i="1" s="1"/>
  <c r="AA99" i="1"/>
  <c r="AA134" i="1"/>
  <c r="AA113" i="1" l="1"/>
  <c r="AA127" i="1" s="1"/>
  <c r="AA106" i="1"/>
  <c r="AA145" i="1" l="1"/>
  <c r="AB103" i="1"/>
  <c r="AB97" i="1"/>
  <c r="AA121" i="1"/>
  <c r="AA136" i="1"/>
  <c r="AA137" i="1" s="1"/>
  <c r="AA138" i="1" l="1"/>
  <c r="AB135" i="1"/>
  <c r="AB122" i="1"/>
  <c r="AB124" i="1"/>
  <c r="AB123" i="1" l="1"/>
  <c r="AB125" i="1" s="1"/>
  <c r="AB107" i="1" s="1"/>
  <c r="AB108" i="1" s="1"/>
  <c r="AB100" i="1" l="1"/>
  <c r="AB99" i="1" l="1"/>
  <c r="AB134" i="1"/>
  <c r="AB109" i="1"/>
  <c r="AB110" i="1" s="1"/>
  <c r="AB113" i="1" l="1"/>
  <c r="AB127" i="1" s="1"/>
  <c r="AB106" i="1"/>
  <c r="AB145" i="1" l="1"/>
  <c r="AC103" i="1"/>
  <c r="AC97" i="1"/>
  <c r="AB121" i="1"/>
  <c r="AB136" i="1"/>
  <c r="AB137" i="1" s="1"/>
  <c r="AC135" i="1" l="1"/>
  <c r="AB138" i="1"/>
  <c r="AC124" i="1"/>
  <c r="AC122" i="1"/>
  <c r="AC123" i="1" l="1"/>
  <c r="AC125" i="1" s="1"/>
  <c r="AC107" i="1" s="1"/>
  <c r="AC108" i="1" l="1"/>
  <c r="AC100" i="1" s="1"/>
  <c r="AC99" i="1" l="1"/>
  <c r="AC134" i="1"/>
  <c r="AC109" i="1"/>
  <c r="AC110" i="1" s="1"/>
  <c r="AC113" i="1" l="1"/>
  <c r="AC127" i="1" s="1"/>
  <c r="AC106" i="1"/>
  <c r="AD103" i="1" l="1"/>
  <c r="AC145" i="1"/>
  <c r="AD97" i="1"/>
  <c r="AC121" i="1"/>
  <c r="AC136" i="1"/>
  <c r="AC137" i="1" s="1"/>
  <c r="AD135" i="1" l="1"/>
  <c r="AC138" i="1"/>
  <c r="AD122" i="1"/>
  <c r="AD124" i="1"/>
  <c r="AD123" i="1" l="1"/>
  <c r="AD125" i="1" s="1"/>
  <c r="AD107" i="1" s="1"/>
  <c r="AD108" i="1" l="1"/>
  <c r="AD100" i="1" s="1"/>
  <c r="AD99" i="1" l="1"/>
  <c r="AD134" i="1"/>
  <c r="AD109" i="1"/>
  <c r="AD110" i="1" s="1"/>
  <c r="AD113" i="1" l="1"/>
  <c r="AD127" i="1" s="1"/>
  <c r="AD106" i="1"/>
  <c r="AD136" i="1" l="1"/>
  <c r="AD137" i="1" s="1"/>
  <c r="AE103" i="1"/>
  <c r="AD145" i="1"/>
  <c r="AE97" i="1"/>
  <c r="AD121" i="1"/>
  <c r="AE124" i="1" l="1"/>
  <c r="AE122" i="1"/>
  <c r="AE135" i="1"/>
  <c r="AD138" i="1"/>
  <c r="AE123" i="1" l="1"/>
  <c r="AE125" i="1" s="1"/>
  <c r="AE107" i="1" s="1"/>
  <c r="AE108" i="1" l="1"/>
  <c r="AE100" i="1" s="1"/>
  <c r="AE109" i="1" l="1"/>
  <c r="AE110" i="1" s="1"/>
  <c r="AE99" i="1"/>
  <c r="AE134" i="1"/>
  <c r="AE113" i="1" l="1"/>
  <c r="AE127" i="1" s="1"/>
  <c r="AE106" i="1"/>
  <c r="AE145" i="1" l="1"/>
  <c r="AF103" i="1"/>
  <c r="AF97" i="1"/>
  <c r="AE121" i="1"/>
  <c r="AE136" i="1"/>
  <c r="AE137" i="1" s="1"/>
  <c r="AF135" i="1" l="1"/>
  <c r="AE138" i="1"/>
  <c r="AF122" i="1"/>
  <c r="AF124" i="1"/>
  <c r="AF123" i="1" l="1"/>
  <c r="AF125" i="1" s="1"/>
  <c r="AF107" i="1" s="1"/>
  <c r="AF108" i="1" l="1"/>
  <c r="AF100" i="1" s="1"/>
  <c r="AF109" i="1"/>
  <c r="AF110" i="1" s="1"/>
  <c r="AF99" i="1" l="1"/>
  <c r="AF134" i="1"/>
  <c r="AF113" i="1" l="1"/>
  <c r="AF127" i="1" s="1"/>
  <c r="AF106" i="1"/>
  <c r="AG103" i="1" l="1"/>
  <c r="AF145" i="1"/>
  <c r="AG97" i="1"/>
  <c r="AF121" i="1"/>
  <c r="AF136" i="1"/>
  <c r="AF137" i="1" s="1"/>
  <c r="AF138" i="1" l="1"/>
  <c r="AG135" i="1"/>
  <c r="AG124" i="1"/>
  <c r="AG122" i="1"/>
  <c r="AG123" i="1" l="1"/>
  <c r="AG125" i="1" s="1"/>
  <c r="AG107" i="1" s="1"/>
  <c r="AG108" i="1" l="1"/>
  <c r="AG100" i="1" s="1"/>
  <c r="AG109" i="1" l="1"/>
  <c r="AG110" i="1" s="1"/>
  <c r="AG99" i="1"/>
  <c r="AG134" i="1"/>
  <c r="AG113" i="1" l="1"/>
  <c r="AG127" i="1" s="1"/>
  <c r="AG106" i="1"/>
  <c r="AG145" i="1" l="1"/>
  <c r="AH103" i="1"/>
  <c r="AH97" i="1"/>
  <c r="AG121" i="1"/>
  <c r="AG136" i="1"/>
  <c r="AG137" i="1" s="1"/>
  <c r="AH135" i="1" l="1"/>
  <c r="AG138" i="1"/>
  <c r="AH122" i="1"/>
  <c r="AH124" i="1"/>
  <c r="AH123" i="1" l="1"/>
  <c r="AH125" i="1" s="1"/>
  <c r="AH107" i="1" s="1"/>
  <c r="AH108" i="1" l="1"/>
  <c r="AH100" i="1" s="1"/>
  <c r="AH99" i="1" l="1"/>
  <c r="AH134" i="1"/>
  <c r="AH109" i="1"/>
  <c r="AH110" i="1" s="1"/>
  <c r="AH113" i="1" l="1"/>
  <c r="AH127" i="1" s="1"/>
  <c r="AH106" i="1"/>
  <c r="AI103" i="1" l="1"/>
  <c r="AH145" i="1"/>
  <c r="AI97" i="1"/>
  <c r="AH121" i="1"/>
  <c r="AH136" i="1"/>
  <c r="AH137" i="1" s="1"/>
  <c r="AI135" i="1" l="1"/>
  <c r="AH138" i="1"/>
  <c r="AI122" i="1"/>
  <c r="AI124" i="1"/>
  <c r="AI123" i="1" l="1"/>
  <c r="AI125" i="1" s="1"/>
  <c r="AI107" i="1" s="1"/>
  <c r="AI108" i="1" l="1"/>
  <c r="AI100" i="1" s="1"/>
  <c r="AI99" i="1" l="1"/>
  <c r="AI134" i="1"/>
  <c r="AI109" i="1"/>
  <c r="AI110" i="1" s="1"/>
  <c r="AI113" i="1" l="1"/>
  <c r="AI127" i="1" s="1"/>
  <c r="AI106" i="1"/>
  <c r="AJ103" i="1" l="1"/>
  <c r="AI145" i="1"/>
  <c r="AJ97" i="1"/>
  <c r="AI121" i="1"/>
  <c r="AI136" i="1"/>
  <c r="AI137" i="1" s="1"/>
  <c r="AJ135" i="1" l="1"/>
  <c r="AI138" i="1"/>
  <c r="AJ124" i="1"/>
  <c r="AJ122" i="1"/>
  <c r="AJ123" i="1" l="1"/>
  <c r="AJ125" i="1" s="1"/>
  <c r="AJ107" i="1" s="1"/>
  <c r="AJ108" i="1" l="1"/>
  <c r="AJ100" i="1" s="1"/>
  <c r="AJ99" i="1" l="1"/>
  <c r="AJ134" i="1"/>
  <c r="AJ109" i="1"/>
  <c r="AJ110" i="1" s="1"/>
  <c r="AJ113" i="1" l="1"/>
  <c r="AJ127" i="1" s="1"/>
  <c r="AJ106" i="1"/>
  <c r="AJ145" i="1" l="1"/>
  <c r="AK103" i="1"/>
  <c r="AK97" i="1"/>
  <c r="AJ121" i="1"/>
  <c r="AJ136" i="1"/>
  <c r="AJ137" i="1" s="1"/>
  <c r="AJ138" i="1" l="1"/>
  <c r="AK135" i="1"/>
  <c r="AK122" i="1"/>
  <c r="AK124" i="1"/>
  <c r="AK123" i="1" l="1"/>
  <c r="AK125" i="1" s="1"/>
  <c r="AK107" i="1" s="1"/>
  <c r="AK108" i="1" l="1"/>
  <c r="AK100" i="1" s="1"/>
  <c r="AK99" i="1" l="1"/>
  <c r="AK134" i="1"/>
  <c r="AK109" i="1"/>
  <c r="AK110" i="1" s="1"/>
  <c r="AK113" i="1" l="1"/>
  <c r="AK127" i="1" s="1"/>
  <c r="AK106" i="1"/>
  <c r="AK145" i="1" l="1"/>
  <c r="AL103" i="1"/>
  <c r="AL97" i="1"/>
  <c r="AK121" i="1"/>
  <c r="AK136" i="1"/>
  <c r="AK137" i="1" s="1"/>
  <c r="AL135" i="1" l="1"/>
  <c r="AK138" i="1"/>
  <c r="AL124" i="1"/>
  <c r="AL122" i="1"/>
  <c r="AL123" i="1" l="1"/>
  <c r="AL125" i="1" s="1"/>
  <c r="AL107" i="1" s="1"/>
  <c r="AL108" i="1" l="1"/>
  <c r="AL100" i="1" s="1"/>
  <c r="AL109" i="1" l="1"/>
  <c r="AL110" i="1" s="1"/>
  <c r="AL99" i="1"/>
  <c r="AL134" i="1"/>
  <c r="AL113" i="1" l="1"/>
  <c r="AL127" i="1" s="1"/>
  <c r="AL106" i="1"/>
  <c r="AM103" i="1" l="1"/>
  <c r="AL145" i="1"/>
  <c r="AM97" i="1"/>
  <c r="AL121" i="1"/>
  <c r="AL136" i="1"/>
  <c r="AL137" i="1" s="1"/>
  <c r="AL138" i="1" l="1"/>
  <c r="AM135" i="1"/>
  <c r="AM122" i="1"/>
  <c r="AM124" i="1"/>
  <c r="AM123" i="1" l="1"/>
  <c r="AM125" i="1"/>
  <c r="AM107" i="1" s="1"/>
  <c r="AM108" i="1" l="1"/>
  <c r="AM100" i="1" s="1"/>
  <c r="AM99" i="1" l="1"/>
  <c r="AM134" i="1"/>
  <c r="AM109" i="1"/>
  <c r="AM110" i="1" s="1"/>
  <c r="AM113" i="1" l="1"/>
  <c r="AM127" i="1" s="1"/>
  <c r="AM106" i="1"/>
  <c r="AN103" i="1" l="1"/>
  <c r="AM145" i="1"/>
  <c r="AN97" i="1"/>
  <c r="AM121" i="1"/>
  <c r="AM136" i="1"/>
  <c r="AM137" i="1" s="1"/>
  <c r="AN135" i="1" l="1"/>
  <c r="AM138" i="1"/>
  <c r="AN124" i="1"/>
  <c r="AN122" i="1"/>
  <c r="AN123" i="1" l="1"/>
  <c r="AN125" i="1" s="1"/>
  <c r="AN107" i="1" s="1"/>
  <c r="AN108" i="1" l="1"/>
  <c r="AN100" i="1" s="1"/>
  <c r="AN99" i="1" l="1"/>
  <c r="AN134" i="1"/>
  <c r="AN109" i="1"/>
  <c r="AN110" i="1" s="1"/>
  <c r="AN113" i="1" l="1"/>
  <c r="AN127" i="1" s="1"/>
  <c r="AN106" i="1"/>
  <c r="AO103" i="1" l="1"/>
  <c r="AN145" i="1"/>
  <c r="AO97" i="1"/>
  <c r="AN121" i="1"/>
  <c r="AN136" i="1"/>
  <c r="AN137" i="1" s="1"/>
  <c r="AN138" i="1" l="1"/>
  <c r="AO135" i="1"/>
  <c r="AO124" i="1"/>
  <c r="AO122" i="1"/>
  <c r="AO123" i="1" l="1"/>
  <c r="AO125" i="1" s="1"/>
  <c r="AO107" i="1" s="1"/>
  <c r="AO108" i="1" l="1"/>
  <c r="AO100" i="1" s="1"/>
  <c r="AO109" i="1" l="1"/>
  <c r="AO110" i="1" s="1"/>
  <c r="AO99" i="1"/>
  <c r="AO134" i="1"/>
  <c r="AO113" i="1" l="1"/>
  <c r="AO127" i="1" s="1"/>
  <c r="AO106" i="1"/>
  <c r="AP103" i="1" l="1"/>
  <c r="AO145" i="1"/>
  <c r="AP97" i="1"/>
  <c r="AO121" i="1"/>
  <c r="AO136" i="1"/>
  <c r="AO137" i="1" s="1"/>
  <c r="AP135" i="1" l="1"/>
  <c r="AO138" i="1"/>
  <c r="AP124" i="1"/>
  <c r="AP122" i="1"/>
  <c r="AP123" i="1" l="1"/>
  <c r="AP125" i="1" s="1"/>
  <c r="AP107" i="1" s="1"/>
  <c r="AP108" i="1" l="1"/>
  <c r="AP100" i="1" s="1"/>
  <c r="AP109" i="1" l="1"/>
  <c r="AP110" i="1" s="1"/>
  <c r="AP99" i="1"/>
  <c r="AP134" i="1"/>
  <c r="AP113" i="1" l="1"/>
  <c r="AP127" i="1" s="1"/>
  <c r="AP106" i="1"/>
  <c r="AQ103" i="1" l="1"/>
  <c r="AP145" i="1"/>
  <c r="AQ97" i="1"/>
  <c r="AP121" i="1"/>
  <c r="AP136" i="1"/>
  <c r="AP137" i="1" s="1"/>
  <c r="AP138" i="1" l="1"/>
  <c r="AQ135" i="1"/>
  <c r="AQ122" i="1"/>
  <c r="AQ124" i="1"/>
  <c r="AQ123" i="1" l="1"/>
  <c r="AQ125" i="1"/>
  <c r="AQ107" i="1" s="1"/>
  <c r="AQ108" i="1" l="1"/>
  <c r="AQ100" i="1" s="1"/>
  <c r="AQ109" i="1"/>
  <c r="AQ110" i="1" s="1"/>
  <c r="AQ99" i="1" l="1"/>
  <c r="AQ134" i="1"/>
  <c r="AQ113" i="1" l="1"/>
  <c r="AQ127" i="1" s="1"/>
  <c r="AQ106" i="1"/>
  <c r="AQ145" i="1" l="1"/>
  <c r="AR103" i="1"/>
  <c r="AR97" i="1"/>
  <c r="AQ121" i="1"/>
  <c r="AQ136" i="1"/>
  <c r="AQ137" i="1" s="1"/>
  <c r="AQ138" i="1" l="1"/>
  <c r="AR135" i="1"/>
  <c r="AR124" i="1"/>
  <c r="AR122" i="1"/>
  <c r="AR123" i="1" l="1"/>
  <c r="AR125" i="1" s="1"/>
  <c r="AR107" i="1" s="1"/>
  <c r="AR108" i="1" l="1"/>
  <c r="AR100" i="1" s="1"/>
  <c r="AR99" i="1" l="1"/>
  <c r="AR134" i="1"/>
  <c r="AR109" i="1"/>
  <c r="AR110" i="1" s="1"/>
  <c r="AR113" i="1" l="1"/>
  <c r="AR127" i="1" s="1"/>
  <c r="AR106" i="1"/>
  <c r="AR145" i="1" l="1"/>
  <c r="AS103" i="1"/>
  <c r="AS97" i="1"/>
  <c r="AR121" i="1"/>
  <c r="AR136" i="1"/>
  <c r="AR137" i="1" s="1"/>
  <c r="AR138" i="1" l="1"/>
  <c r="AS135" i="1"/>
  <c r="AS124" i="1"/>
  <c r="AS122" i="1"/>
  <c r="C97" i="1"/>
  <c r="AS123" i="1" l="1"/>
  <c r="AS125" i="1" s="1"/>
  <c r="AS107" i="1" s="1"/>
  <c r="AS108" i="1" l="1"/>
  <c r="AS109" i="1"/>
  <c r="C109" i="1" s="1"/>
  <c r="C107" i="1"/>
  <c r="F57" i="12" s="1"/>
  <c r="AS110" i="1" l="1"/>
  <c r="C110" i="1" s="1"/>
  <c r="C37" i="4"/>
  <c r="D149" i="1"/>
  <c r="F56" i="12"/>
  <c r="D18" i="1"/>
  <c r="D154" i="1"/>
  <c r="AS100" i="1"/>
  <c r="C108" i="1"/>
  <c r="F59" i="12" l="1"/>
  <c r="AS99" i="1"/>
  <c r="C100" i="1"/>
  <c r="AS134" i="1"/>
  <c r="C63" i="4"/>
  <c r="D155" i="1"/>
  <c r="C64" i="4" s="1"/>
  <c r="C42" i="4"/>
  <c r="C50" i="4"/>
  <c r="C40" i="4"/>
  <c r="G49" i="12" l="1"/>
  <c r="G27" i="12"/>
  <c r="G30" i="12"/>
  <c r="G24" i="12"/>
  <c r="G48" i="12"/>
  <c r="G47" i="12"/>
  <c r="G19" i="12"/>
  <c r="G29" i="12"/>
  <c r="G52" i="12"/>
  <c r="G39" i="12"/>
  <c r="F61" i="12"/>
  <c r="G32" i="12"/>
  <c r="G18" i="12"/>
  <c r="G41" i="12"/>
  <c r="G54" i="12"/>
  <c r="G17" i="12"/>
  <c r="G34" i="12"/>
  <c r="G50" i="12"/>
  <c r="G45" i="12"/>
  <c r="G43" i="12"/>
  <c r="G36" i="12"/>
  <c r="G22" i="12"/>
  <c r="G23" i="12"/>
  <c r="F65" i="12"/>
  <c r="G25" i="12"/>
  <c r="G16" i="12"/>
  <c r="G51" i="12"/>
  <c r="G33" i="12"/>
  <c r="G35" i="12"/>
  <c r="G31" i="12"/>
  <c r="F69" i="12"/>
  <c r="F71" i="12" s="1"/>
  <c r="G20" i="12"/>
  <c r="G42" i="12"/>
  <c r="G40" i="12"/>
  <c r="G37" i="12"/>
  <c r="G26" i="12"/>
  <c r="G28" i="12"/>
  <c r="G21" i="12"/>
  <c r="G44" i="12"/>
  <c r="G46" i="12"/>
  <c r="G55" i="12"/>
  <c r="D67" i="12"/>
  <c r="G56" i="12"/>
  <c r="C44" i="4"/>
  <c r="C43" i="4"/>
  <c r="AS113" i="1"/>
  <c r="AS127" i="1" s="1"/>
  <c r="D128" i="1" s="1"/>
  <c r="C99" i="1"/>
  <c r="AS106" i="1"/>
  <c r="F63" i="12" l="1"/>
  <c r="H61" i="12"/>
  <c r="J55" i="12"/>
  <c r="K55" i="12" s="1"/>
  <c r="G61" i="12"/>
  <c r="F66" i="12"/>
  <c r="F64" i="12"/>
  <c r="E75" i="12"/>
  <c r="G59" i="12"/>
  <c r="AS136" i="1"/>
  <c r="AS145" i="1"/>
  <c r="AS121" i="1"/>
  <c r="AS137" i="1" l="1"/>
  <c r="C136" i="1"/>
  <c r="AS141" i="1" l="1"/>
  <c r="AS142" i="1" s="1"/>
  <c r="AS144" i="1" s="1"/>
  <c r="AS138" i="1"/>
  <c r="AR140" i="1" l="1"/>
  <c r="C138" i="1"/>
  <c r="C41" i="4" l="1"/>
  <c r="C45" i="4" s="1"/>
  <c r="C143" i="1"/>
  <c r="C52" i="4"/>
  <c r="C51" i="4"/>
  <c r="D148" i="1"/>
  <c r="AR141" i="1"/>
  <c r="AR142" i="1" s="1"/>
  <c r="AR144" i="1" s="1"/>
  <c r="AQ140" i="1"/>
  <c r="AQ141" i="1" l="1"/>
  <c r="AQ142" i="1" s="1"/>
  <c r="AQ144" i="1" s="1"/>
  <c r="AP140" i="1"/>
  <c r="C57" i="4"/>
  <c r="D150" i="1"/>
  <c r="C58" i="4" s="1"/>
  <c r="AP141" i="1" l="1"/>
  <c r="AP142" i="1" s="1"/>
  <c r="AP144" i="1" s="1"/>
  <c r="AO140" i="1"/>
  <c r="AO141" i="1" l="1"/>
  <c r="AO142" i="1" s="1"/>
  <c r="AO144" i="1" s="1"/>
  <c r="AN140" i="1"/>
  <c r="AN141" i="1" l="1"/>
  <c r="AN142" i="1" s="1"/>
  <c r="AN144" i="1" s="1"/>
  <c r="AM140" i="1"/>
  <c r="AM141" i="1" l="1"/>
  <c r="AM142" i="1" s="1"/>
  <c r="AM144" i="1" s="1"/>
  <c r="AL140" i="1"/>
  <c r="AL141" i="1" l="1"/>
  <c r="AL142" i="1" s="1"/>
  <c r="AL144" i="1" s="1"/>
  <c r="AK140" i="1"/>
  <c r="AK141" i="1" l="1"/>
  <c r="AK142" i="1" s="1"/>
  <c r="AK144" i="1" s="1"/>
  <c r="AJ140" i="1"/>
  <c r="AJ141" i="1" l="1"/>
  <c r="AJ142" i="1" s="1"/>
  <c r="AJ144" i="1" s="1"/>
  <c r="AI140" i="1"/>
  <c r="AI141" i="1" l="1"/>
  <c r="AI142" i="1" s="1"/>
  <c r="AI144" i="1" s="1"/>
  <c r="AH140" i="1"/>
  <c r="AH141" i="1" l="1"/>
  <c r="AH142" i="1" s="1"/>
  <c r="AH144" i="1" s="1"/>
  <c r="AG140" i="1"/>
  <c r="AG141" i="1" l="1"/>
  <c r="AG142" i="1" s="1"/>
  <c r="AG144" i="1" s="1"/>
  <c r="AF140" i="1"/>
  <c r="AF141" i="1" l="1"/>
  <c r="AF142" i="1" s="1"/>
  <c r="AF144" i="1" s="1"/>
  <c r="AE140" i="1"/>
  <c r="AE141" i="1" l="1"/>
  <c r="AE142" i="1" s="1"/>
  <c r="AE144" i="1" s="1"/>
  <c r="AD140" i="1"/>
  <c r="AD141" i="1" l="1"/>
  <c r="AD142" i="1" s="1"/>
  <c r="AD144" i="1" s="1"/>
  <c r="AC140" i="1"/>
  <c r="AC141" i="1" l="1"/>
  <c r="AC142" i="1" s="1"/>
  <c r="AC144" i="1" s="1"/>
  <c r="AB140" i="1"/>
  <c r="AB141" i="1" l="1"/>
  <c r="AB142" i="1" s="1"/>
  <c r="AB144" i="1" s="1"/>
  <c r="AA140" i="1"/>
  <c r="AA141" i="1" l="1"/>
  <c r="AA142" i="1" s="1"/>
  <c r="AA144" i="1" s="1"/>
  <c r="Z140" i="1"/>
  <c r="Z141" i="1" l="1"/>
  <c r="Z142" i="1" s="1"/>
  <c r="Z144" i="1" s="1"/>
  <c r="Y140" i="1"/>
  <c r="Y141" i="1" l="1"/>
  <c r="Y142" i="1" s="1"/>
  <c r="Y144" i="1" s="1"/>
  <c r="X140" i="1"/>
  <c r="X141" i="1" l="1"/>
  <c r="X142" i="1" s="1"/>
  <c r="X144" i="1" s="1"/>
  <c r="W140" i="1"/>
  <c r="W141" i="1" l="1"/>
  <c r="W142" i="1" s="1"/>
  <c r="W144" i="1" s="1"/>
  <c r="V140" i="1"/>
  <c r="V141" i="1" l="1"/>
  <c r="V142" i="1" s="1"/>
  <c r="V144" i="1" s="1"/>
  <c r="U140" i="1"/>
  <c r="U141" i="1" l="1"/>
  <c r="U142" i="1" s="1"/>
  <c r="U144" i="1" s="1"/>
  <c r="T140" i="1"/>
  <c r="T141" i="1" l="1"/>
  <c r="T142" i="1" s="1"/>
  <c r="T144" i="1" s="1"/>
  <c r="S140" i="1"/>
  <c r="S141" i="1" l="1"/>
  <c r="S142" i="1" s="1"/>
  <c r="S144" i="1" s="1"/>
  <c r="R140" i="1"/>
  <c r="R141" i="1" l="1"/>
  <c r="R142" i="1" s="1"/>
  <c r="R144" i="1" s="1"/>
  <c r="Q140" i="1"/>
  <c r="Q141" i="1" l="1"/>
  <c r="Q142" i="1" s="1"/>
  <c r="Q144" i="1" s="1"/>
  <c r="P140" i="1"/>
  <c r="P141" i="1" l="1"/>
  <c r="P142" i="1" s="1"/>
  <c r="P144" i="1" s="1"/>
  <c r="O140" i="1"/>
  <c r="O141" i="1" l="1"/>
  <c r="O142" i="1" s="1"/>
  <c r="O144" i="1" s="1"/>
  <c r="N140" i="1"/>
  <c r="N141" i="1" l="1"/>
  <c r="N142" i="1" s="1"/>
  <c r="N144" i="1" s="1"/>
  <c r="M140" i="1"/>
  <c r="M141" i="1" l="1"/>
  <c r="M142" i="1" s="1"/>
  <c r="M144" i="1" s="1"/>
  <c r="L140" i="1"/>
  <c r="K140" i="1" l="1"/>
  <c r="L141" i="1"/>
  <c r="L142" i="1" s="1"/>
  <c r="L144" i="1" s="1"/>
  <c r="K141" i="1" l="1"/>
  <c r="K142" i="1" s="1"/>
  <c r="K144" i="1" s="1"/>
  <c r="J140" i="1"/>
  <c r="I140" i="1" l="1"/>
  <c r="J141" i="1"/>
  <c r="J142" i="1" s="1"/>
  <c r="J144" i="1" s="1"/>
  <c r="H140" i="1" l="1"/>
  <c r="I141" i="1"/>
  <c r="I142" i="1" s="1"/>
  <c r="I144" i="1" s="1"/>
  <c r="H141" i="1" l="1"/>
  <c r="H142" i="1" s="1"/>
  <c r="H144" i="1" s="1"/>
  <c r="G140" i="1"/>
  <c r="F140" i="1" l="1"/>
  <c r="G141" i="1"/>
  <c r="G142" i="1" s="1"/>
  <c r="G144" i="1" s="1"/>
  <c r="F141" i="1" l="1"/>
  <c r="F142" i="1" s="1"/>
  <c r="F144" i="1" s="1"/>
  <c r="C46" i="4" s="1"/>
  <c r="E140" i="1"/>
  <c r="E141" i="1" s="1"/>
  <c r="E142" i="1" s="1"/>
</calcChain>
</file>

<file path=xl/comments1.xml><?xml version="1.0" encoding="utf-8"?>
<comments xmlns="http://schemas.openxmlformats.org/spreadsheetml/2006/main">
  <authors>
    <author>Кудрина Татьяна Раисовна</author>
  </authors>
  <commentList>
    <comment ref="D49" authorId="0" shapeId="0">
      <text>
        <r>
          <rPr>
            <b/>
            <sz val="9"/>
            <color indexed="81"/>
            <rFont val="Tahoma"/>
            <family val="2"/>
            <charset val="204"/>
          </rPr>
          <t>Кудрина Татьяна Раисовна:</t>
        </r>
        <r>
          <rPr>
            <sz val="9"/>
            <color indexed="81"/>
            <rFont val="Tahoma"/>
            <family val="2"/>
            <charset val="204"/>
          </rPr>
          <t xml:space="preserve">
откуда норматив, дать ссылку</t>
        </r>
      </text>
    </comment>
  </commentList>
</comments>
</file>

<file path=xl/comments2.xml><?xml version="1.0" encoding="utf-8"?>
<comments xmlns="http://schemas.openxmlformats.org/spreadsheetml/2006/main">
  <authors>
    <author>Кудрина Татьяна Раисовна</author>
  </authors>
  <commentList>
    <comment ref="D21" authorId="0" shapeId="0">
      <text>
        <r>
          <rPr>
            <b/>
            <sz val="9"/>
            <color indexed="81"/>
            <rFont val="Tahoma"/>
            <family val="2"/>
            <charset val="204"/>
          </rPr>
          <t>Кудрина Татьяна Раисовна:</t>
        </r>
        <r>
          <rPr>
            <sz val="9"/>
            <color indexed="81"/>
            <rFont val="Tahoma"/>
            <family val="2"/>
            <charset val="204"/>
          </rPr>
          <t xml:space="preserve">
как рассчитывать процент? Норматив есть?</t>
        </r>
      </text>
    </comment>
  </commentList>
</comments>
</file>

<file path=xl/comments3.xml><?xml version="1.0" encoding="utf-8"?>
<comments xmlns="http://schemas.openxmlformats.org/spreadsheetml/2006/main">
  <authors>
    <author>Кочуева Марина Игоревна</author>
  </authors>
  <commentList>
    <comment ref="A38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Предлагаю исключить</t>
        </r>
      </text>
    </comment>
    <comment ref="A63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Принять нормативы по затратам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Посчитать почище</t>
        </r>
      </text>
    </comment>
    <comment ref="A77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Посмотреть есть ли плата за перевод нераспроданного остатка на застройщика
</t>
        </r>
      </text>
    </comment>
    <comment ref="A79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Определить подход к оченке</t>
        </r>
      </text>
    </comment>
    <comment ref="A85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Уточнить практику возмещения НДС по паркинг и ПСН</t>
        </r>
      </text>
    </comment>
    <comment ref="A109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Проверить налог на прибыль</t>
        </r>
      </text>
    </comment>
    <comment ref="A111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Уточнить текущие условия банка
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  <charset val="204"/>
          </rPr>
          <t>Кочуева Марина Игоревна:</t>
        </r>
        <r>
          <rPr>
            <sz val="9"/>
            <color indexed="81"/>
            <rFont val="Tahoma"/>
            <family val="2"/>
            <charset val="204"/>
          </rPr>
          <t xml:space="preserve">
учитываем раскрытие эскроу или нет
</t>
        </r>
      </text>
    </comment>
  </commentList>
</comments>
</file>

<file path=xl/sharedStrings.xml><?xml version="1.0" encoding="utf-8"?>
<sst xmlns="http://schemas.openxmlformats.org/spreadsheetml/2006/main" count="467" uniqueCount="378">
  <si>
    <t>Расходы</t>
  </si>
  <si>
    <t>Налоги</t>
  </si>
  <si>
    <t>Вход в проект</t>
  </si>
  <si>
    <t>СМР</t>
  </si>
  <si>
    <t>Налог на прибыль</t>
  </si>
  <si>
    <t>НДС</t>
  </si>
  <si>
    <t>ед.изм.</t>
  </si>
  <si>
    <t>%</t>
  </si>
  <si>
    <t>Раскрытие Escrow</t>
  </si>
  <si>
    <t>Продажи по ДКП</t>
  </si>
  <si>
    <t>Total Debt (BoP)</t>
  </si>
  <si>
    <t>Выборка</t>
  </si>
  <si>
    <t>Погашение</t>
  </si>
  <si>
    <t>Total Debt (EoP)</t>
  </si>
  <si>
    <t>НеупПр  (EoP)</t>
  </si>
  <si>
    <t>Проценты начисленные</t>
  </si>
  <si>
    <t>Проценты (PIK), оплата при раскрытии escrow</t>
  </si>
  <si>
    <t>Проценты (PIK), оплата из ДКП</t>
  </si>
  <si>
    <t>Поток по кредиту</t>
  </si>
  <si>
    <t>Эффективная ставка по кредиту</t>
  </si>
  <si>
    <t>Определение залоговой стоимости квартир</t>
  </si>
  <si>
    <t>Задолженность после раскрытия escrow</t>
  </si>
  <si>
    <t>Остаток площадей после раскрытия escrow</t>
  </si>
  <si>
    <t>К1</t>
  </si>
  <si>
    <t>К2</t>
  </si>
  <si>
    <t>ТСт  (Текущая Ставка Кредитования)</t>
  </si>
  <si>
    <t>СкP</t>
  </si>
  <si>
    <t>К1 - доля кредита с учетом начисленных, но неуплаченных процентов, покрытого ДС на Эскроу счетах с учетом корректировки в ФОР*.</t>
  </si>
  <si>
    <t>К2 - доля кредита с учетом начисленных, но неуплаченных процентов, не покрытого ДС на Эскроу счетах с учетом корректировки в ФОР.</t>
  </si>
  <si>
    <t>Кол-во дней</t>
  </si>
  <si>
    <t>Cost of Eqity</t>
  </si>
  <si>
    <t xml:space="preserve">Valuation at cost of equity = </t>
  </si>
  <si>
    <t>+free cash = Equity</t>
  </si>
  <si>
    <t>+Debt = Market Value of Asset</t>
  </si>
  <si>
    <t>LTV</t>
  </si>
  <si>
    <t>LTC</t>
  </si>
  <si>
    <t>Cash gap</t>
  </si>
  <si>
    <t>Cash BoP</t>
  </si>
  <si>
    <t>Cash EoP</t>
  </si>
  <si>
    <t>Завершение стройки</t>
  </si>
  <si>
    <t>где еще 5%</t>
  </si>
  <si>
    <t>Средняя цена реализации квартир</t>
  </si>
  <si>
    <t>LTV max</t>
  </si>
  <si>
    <t>Значение</t>
  </si>
  <si>
    <t>Выручка</t>
  </si>
  <si>
    <t>кв. м</t>
  </si>
  <si>
    <t xml:space="preserve">на старте </t>
  </si>
  <si>
    <t xml:space="preserve">в конце продаж </t>
  </si>
  <si>
    <t xml:space="preserve">средневзвешенная </t>
  </si>
  <si>
    <t>Средние темпы реализацииквартир</t>
  </si>
  <si>
    <t>Общий срок реализации всех квартир</t>
  </si>
  <si>
    <t>квартал</t>
  </si>
  <si>
    <t>Валовая маржа</t>
  </si>
  <si>
    <t>Валовая рентабельность</t>
  </si>
  <si>
    <t>Лимит финансирования</t>
  </si>
  <si>
    <t>Общий срок кредита</t>
  </si>
  <si>
    <t>Итоги по проекту</t>
  </si>
  <si>
    <t>Результаты</t>
  </si>
  <si>
    <t>РАСХОДЫ</t>
  </si>
  <si>
    <t>НАЛОГИ</t>
  </si>
  <si>
    <t>КРЕДИТ</t>
  </si>
  <si>
    <t>Рост цен (от стадии проекта),%</t>
  </si>
  <si>
    <t>Ед. изм. - тыс. руб.</t>
  </si>
  <si>
    <t>Компенсация городу</t>
  </si>
  <si>
    <t>Проектирование объектов стадия П</t>
  </si>
  <si>
    <t>Проектирование объектов стадия РД</t>
  </si>
  <si>
    <t>Инженерные изыскания (опер деятельность)</t>
  </si>
  <si>
    <t>Предпроектные проработки</t>
  </si>
  <si>
    <t>СМР надземной части (в т.ч. стилобат)</t>
  </si>
  <si>
    <t>СМР подземной части</t>
  </si>
  <si>
    <t>ТУ и плата за тех. присоединение</t>
  </si>
  <si>
    <t>Наружные сети и сооружения</t>
  </si>
  <si>
    <t>Прочие СМР</t>
  </si>
  <si>
    <t>Расходы по вводу в эксплуатацию</t>
  </si>
  <si>
    <t>Непредвиденные расходы</t>
  </si>
  <si>
    <t>Услуги технического заказчика</t>
  </si>
  <si>
    <t>Авторский надзор</t>
  </si>
  <si>
    <t>Мониторинг окружающей застройки</t>
  </si>
  <si>
    <t>Технический надзор</t>
  </si>
  <si>
    <t>Содержание застройщика</t>
  </si>
  <si>
    <t xml:space="preserve">Вознаграждение за управление проектом </t>
  </si>
  <si>
    <t>Проставить темп,%</t>
  </si>
  <si>
    <t>Иные расходы на проекты (охрана, содержание площадки)</t>
  </si>
  <si>
    <t>Благоустройство, объекты транспортного хозяйства</t>
  </si>
  <si>
    <t>Аренда/налог ЗУ</t>
  </si>
  <si>
    <t>Плата за изменение ВРИ</t>
  </si>
  <si>
    <t>Стадия ИРД</t>
  </si>
  <si>
    <t>Итого</t>
  </si>
  <si>
    <t>Квартиры</t>
  </si>
  <si>
    <t>ПСН</t>
  </si>
  <si>
    <t>Кладовые</t>
  </si>
  <si>
    <t>Машиноместа</t>
  </si>
  <si>
    <t>Цена продаж, тыс.руб./кв.м</t>
  </si>
  <si>
    <t>Социальные объекты (отдельно возводимые)</t>
  </si>
  <si>
    <t>ПИР и ИРД</t>
  </si>
  <si>
    <t>Земельно-имущественные отношения</t>
  </si>
  <si>
    <t>САРЕХ</t>
  </si>
  <si>
    <t>Брокеридж</t>
  </si>
  <si>
    <t>Реклама</t>
  </si>
  <si>
    <t>Налог на имущество</t>
  </si>
  <si>
    <t>Получение ИРД (ППТ,ГПЗУ)</t>
  </si>
  <si>
    <t>ОЦЕНКА CF</t>
  </si>
  <si>
    <t>ОРЕХ</t>
  </si>
  <si>
    <t>Остаток на эскроу BoP</t>
  </si>
  <si>
    <t>Раскрытие эскроу</t>
  </si>
  <si>
    <t>Остаток на эскроу EoP</t>
  </si>
  <si>
    <t>в т.ч. за счёт эскроу</t>
  </si>
  <si>
    <t>в т.ч. за счёт ДКП</t>
  </si>
  <si>
    <t>Погашение по залог. стоимости (квартиры)</t>
  </si>
  <si>
    <t>ДОХОДЫ</t>
  </si>
  <si>
    <t>Продажи по escrow</t>
  </si>
  <si>
    <t>Сэср * (1 - ФОР) (Средства на эскроу - обязат. резервирование)</t>
  </si>
  <si>
    <t>Ключевая ставка</t>
  </si>
  <si>
    <t>Льготная ставка кредитования</t>
  </si>
  <si>
    <t>Базовая ставка кредитования</t>
  </si>
  <si>
    <t>Ставка скидки</t>
  </si>
  <si>
    <t>Минимальная ставка</t>
  </si>
  <si>
    <t>Остаток ссудной задолженности</t>
  </si>
  <si>
    <t>Поток по кредиту для банка</t>
  </si>
  <si>
    <t>Комиссия за выдачу</t>
  </si>
  <si>
    <t>Комиссия за обязательство</t>
  </si>
  <si>
    <t>Поступления</t>
  </si>
  <si>
    <t>Пополнение эскроу за вычетом ФОР</t>
  </si>
  <si>
    <t>Начало стройки</t>
  </si>
  <si>
    <t>Cash balance</t>
  </si>
  <si>
    <t>CFADS (до финансирования)</t>
  </si>
  <si>
    <t>тыс. руб.</t>
  </si>
  <si>
    <t>тыс. руб./кв. м</t>
  </si>
  <si>
    <t>шт.</t>
  </si>
  <si>
    <t>Суммарнопоэтажная площадь - СПП</t>
  </si>
  <si>
    <t>ТЭПы Проекта:</t>
  </si>
  <si>
    <t>Паркинг</t>
  </si>
  <si>
    <t>Цена продаж, тыс.руб./шт.</t>
  </si>
  <si>
    <t>Продаваемая площадь (ПП)</t>
  </si>
  <si>
    <t>Площадь в габаритах наружных стен (ГНС)</t>
  </si>
  <si>
    <t>тыс. руб./кв. м ПП</t>
  </si>
  <si>
    <t>Год строительства</t>
  </si>
  <si>
    <t>Площадь в ГНС, кв. м</t>
  </si>
  <si>
    <t>Продаваемая площадь, кв. м</t>
  </si>
  <si>
    <t>Площадь участка</t>
  </si>
  <si>
    <t>Планируемый класс жилья</t>
  </si>
  <si>
    <t>приведенное значение к дате оценки</t>
  </si>
  <si>
    <t>Название проекта</t>
  </si>
  <si>
    <t>FCFE</t>
  </si>
  <si>
    <t>Темп продаж, кв. м</t>
  </si>
  <si>
    <t>Сроки строительства</t>
  </si>
  <si>
    <t>Дата покупки проекта</t>
  </si>
  <si>
    <t>Начисленные % по кредиту</t>
  </si>
  <si>
    <t>Фин рез</t>
  </si>
  <si>
    <t>LLCR</t>
  </si>
  <si>
    <t>Upfront equity (собственный капитал)</t>
  </si>
  <si>
    <t>Кол-во квартир</t>
  </si>
  <si>
    <t>ПИР 30.06.27</t>
  </si>
  <si>
    <t>РнС</t>
  </si>
  <si>
    <t>РнВ</t>
  </si>
  <si>
    <t xml:space="preserve">Для вычисления этого показателя выводится строка NPV </t>
  </si>
  <si>
    <t>Debt - Чистый долг в периоде (выборка +% - пополнение эскроу)</t>
  </si>
  <si>
    <t xml:space="preserve">NPV - чистый накопленный денежный поток </t>
  </si>
  <si>
    <t xml:space="preserve">NPV </t>
  </si>
  <si>
    <t xml:space="preserve">Расчет показателя LLCR производится или за весь период проекта или на на определенную дату. </t>
  </si>
  <si>
    <t xml:space="preserve">На листе рассчитан LLSR рассчитан  на каждый период и выведен средний показатель </t>
  </si>
  <si>
    <t xml:space="preserve">LLCR средний за весь проект </t>
  </si>
  <si>
    <t xml:space="preserve">Выручка минус налоги </t>
  </si>
  <si>
    <t>Общий долг (выборка + %)</t>
  </si>
  <si>
    <t xml:space="preserve">Альтернативный подход Банков </t>
  </si>
  <si>
    <t>Коэффициент покрытие долговых обязательств LLCR</t>
  </si>
  <si>
    <t xml:space="preserve">   </t>
  </si>
  <si>
    <t>Квартирография - цены старта продаж</t>
  </si>
  <si>
    <t>Типы квартир</t>
  </si>
  <si>
    <t>S</t>
  </si>
  <si>
    <t>кол-во</t>
  </si>
  <si>
    <t>S квартиры</t>
  </si>
  <si>
    <t>цена 1м2</t>
  </si>
  <si>
    <t>Средний чек</t>
  </si>
  <si>
    <t>Типы прочих помещений</t>
  </si>
  <si>
    <t>S коммерции</t>
  </si>
  <si>
    <t>1 кв</t>
  </si>
  <si>
    <t>Рассрочка, кв</t>
  </si>
  <si>
    <t>ПВ</t>
  </si>
  <si>
    <t>Рассрочка</t>
  </si>
  <si>
    <t>2кв</t>
  </si>
  <si>
    <t>3кв</t>
  </si>
  <si>
    <t>4кв</t>
  </si>
  <si>
    <t>5кв</t>
  </si>
  <si>
    <t>6кв</t>
  </si>
  <si>
    <t>7кв</t>
  </si>
  <si>
    <t>8кв</t>
  </si>
  <si>
    <t>9кв</t>
  </si>
  <si>
    <t>10кв</t>
  </si>
  <si>
    <t>11кв</t>
  </si>
  <si>
    <t>12кв</t>
  </si>
  <si>
    <t>13кв</t>
  </si>
  <si>
    <t>14кв</t>
  </si>
  <si>
    <t>15кв</t>
  </si>
  <si>
    <t>16кв</t>
  </si>
  <si>
    <t>17кв</t>
  </si>
  <si>
    <t>18кв</t>
  </si>
  <si>
    <t>19кв</t>
  </si>
  <si>
    <t>Итого гашение:</t>
  </si>
  <si>
    <t xml:space="preserve">Квартиры Тип 1 </t>
  </si>
  <si>
    <t xml:space="preserve">Квартиры Тип 2 </t>
  </si>
  <si>
    <t xml:space="preserve">Квартиры Тип 3 </t>
  </si>
  <si>
    <t>итого</t>
  </si>
  <si>
    <t>Кол-во кварталов</t>
  </si>
  <si>
    <t xml:space="preserve">ИТОГО ПЛОЩАДЬ </t>
  </si>
  <si>
    <t>Темп продаж, шт</t>
  </si>
  <si>
    <t>Темп продаж , кв м</t>
  </si>
  <si>
    <t>ИТОГО сделки с индекс</t>
  </si>
  <si>
    <t>20кв</t>
  </si>
  <si>
    <t xml:space="preserve">Сделки с рассрочкой </t>
  </si>
  <si>
    <t>Сделки со 100% оплатой</t>
  </si>
  <si>
    <t>Сделки с ипотекой</t>
  </si>
  <si>
    <t>Сделки итого :</t>
  </si>
  <si>
    <t>Условия</t>
  </si>
  <si>
    <t>Ценовая концепция</t>
  </si>
  <si>
    <t>Кадастровая стоимость ЗУ</t>
  </si>
  <si>
    <t>срок получения РНС</t>
  </si>
  <si>
    <t>Старт продаж</t>
  </si>
  <si>
    <t>Завершение СМР без отделки</t>
  </si>
  <si>
    <t>Завершение продаж</t>
  </si>
  <si>
    <t>Срок окончания ПФ</t>
  </si>
  <si>
    <t>ТЭПы</t>
  </si>
  <si>
    <t>Площадь ЗУ / м2</t>
  </si>
  <si>
    <t>Внутриквартальный проезд</t>
  </si>
  <si>
    <t>Корпусность</t>
  </si>
  <si>
    <t>Этажность</t>
  </si>
  <si>
    <t>Площадь жилой застройки</t>
  </si>
  <si>
    <t>Площадь нежилой застройки</t>
  </si>
  <si>
    <t>Площадь коммерции продаваемая</t>
  </si>
  <si>
    <t>Клубная инфраструктура</t>
  </si>
  <si>
    <t>МОП под отделку+ ресепшн</t>
  </si>
  <si>
    <t>Количество парковочных мест ЖК</t>
  </si>
  <si>
    <t>Площадь благоустройства</t>
  </si>
  <si>
    <t>Озеленение</t>
  </si>
  <si>
    <t>Зона наземной парковки</t>
  </si>
  <si>
    <t>Площадь застройки</t>
  </si>
  <si>
    <t>Норматив</t>
  </si>
  <si>
    <t xml:space="preserve">средний </t>
  </si>
  <si>
    <t>обеспеченность</t>
  </si>
  <si>
    <t>Площадь подземной парковки</t>
  </si>
  <si>
    <t>4 квартал 27</t>
  </si>
  <si>
    <t>1 квартал 28</t>
  </si>
  <si>
    <t>2 квартал 28</t>
  </si>
  <si>
    <t>3 квартал 28</t>
  </si>
  <si>
    <t>4 квартал 28</t>
  </si>
  <si>
    <t>1 квартал 29</t>
  </si>
  <si>
    <t>2 квартал 29</t>
  </si>
  <si>
    <t>3 квартал 29</t>
  </si>
  <si>
    <t>4 квартал 29</t>
  </si>
  <si>
    <t>1 квартал 30</t>
  </si>
  <si>
    <t>2 квартал 30</t>
  </si>
  <si>
    <t>1 квартал 2031</t>
  </si>
  <si>
    <t>конец продаж</t>
  </si>
  <si>
    <t xml:space="preserve">Расходы </t>
  </si>
  <si>
    <t>Расценка</t>
  </si>
  <si>
    <t xml:space="preserve">Объем </t>
  </si>
  <si>
    <t xml:space="preserve">Правообладание </t>
  </si>
  <si>
    <t>Юридические расходы на покупку</t>
  </si>
  <si>
    <t>Агентское вознаграждение</t>
  </si>
  <si>
    <t>ПиР</t>
  </si>
  <si>
    <t>Коммерческие расходы</t>
  </si>
  <si>
    <t>Маркетинг</t>
  </si>
  <si>
    <t xml:space="preserve">Продажи </t>
  </si>
  <si>
    <t xml:space="preserve">ИТОГО </t>
  </si>
  <si>
    <t>ФИНРЕЗ</t>
  </si>
  <si>
    <t>NPV</t>
  </si>
  <si>
    <t xml:space="preserve">Собственный капитал </t>
  </si>
  <si>
    <t xml:space="preserve">Рентабельность собственного капитала </t>
  </si>
  <si>
    <t>Проектное финансирование</t>
  </si>
  <si>
    <t>Банковские расходы</t>
  </si>
  <si>
    <t xml:space="preserve">Себестоимость 1м2 </t>
  </si>
  <si>
    <t xml:space="preserve">Средняя стоимость старта продаж </t>
  </si>
  <si>
    <t>Наценка</t>
  </si>
  <si>
    <t xml:space="preserve">Непрогнозтруемая выручка </t>
  </si>
  <si>
    <t>Прогнозируемая выручка</t>
  </si>
  <si>
    <t xml:space="preserve">Доходы </t>
  </si>
  <si>
    <t>Цена Средняя</t>
  </si>
  <si>
    <t>Площадь</t>
  </si>
  <si>
    <t xml:space="preserve">Выручка </t>
  </si>
  <si>
    <t xml:space="preserve">Основные оказатели </t>
  </si>
  <si>
    <t>Количество очередей</t>
  </si>
  <si>
    <t>1 очередь</t>
  </si>
  <si>
    <t>17 кварлал 2031</t>
  </si>
  <si>
    <t>18 кварлал 2031</t>
  </si>
  <si>
    <t>19 кварлал 2031</t>
  </si>
  <si>
    <t>20 кварлал 2031</t>
  </si>
  <si>
    <t>21 кварлал 2031</t>
  </si>
  <si>
    <t>22 кварлал 2031</t>
  </si>
  <si>
    <t>Средий чек</t>
  </si>
  <si>
    <t>Срок реализации проекта / мес</t>
  </si>
  <si>
    <t>Прочие помещения</t>
  </si>
  <si>
    <t xml:space="preserve">IRR Рентабельность проекта </t>
  </si>
  <si>
    <t xml:space="preserve">Тех Надзор </t>
  </si>
  <si>
    <t>Отделка МОП</t>
  </si>
  <si>
    <t>Покупка и формирование актива, агентские , diudill</t>
  </si>
  <si>
    <t xml:space="preserve">Налог на прибыль </t>
  </si>
  <si>
    <t>Темп продаж квартир</t>
  </si>
  <si>
    <t>Стоимость Пмоещений с НДС</t>
  </si>
  <si>
    <t>Дефицит чистой прибыли на момент РнВ</t>
  </si>
  <si>
    <t>Средняя стоимость квартир</t>
  </si>
  <si>
    <t xml:space="preserve">Средняя в конце продаж </t>
  </si>
  <si>
    <t>Средневзвешенная Квартир</t>
  </si>
  <si>
    <t>Средние темпы реализации квартир</t>
  </si>
  <si>
    <t>Подготовка площадки (включая снос)</t>
  </si>
  <si>
    <t xml:space="preserve">IRR Проекта </t>
  </si>
  <si>
    <t>ПФ</t>
  </si>
  <si>
    <t>IRR до финансирования</t>
  </si>
  <si>
    <t xml:space="preserve">IRR Продаж </t>
  </si>
  <si>
    <t>IRR Капитала Инвестора</t>
  </si>
  <si>
    <t>Собственное участие Акционера</t>
  </si>
  <si>
    <t>Прибыль до финансирования</t>
  </si>
  <si>
    <t xml:space="preserve">срок покупки ЗУ </t>
  </si>
  <si>
    <t>только наземная часть?</t>
  </si>
  <si>
    <t>что это? Как рассчитывается?</t>
  </si>
  <si>
    <t>как аренду считать?</t>
  </si>
  <si>
    <t>какой %, какой должен быть чтобы проект был эффективным?</t>
  </si>
  <si>
    <r>
      <t xml:space="preserve">Ввод в эксплуатацию </t>
    </r>
    <r>
      <rPr>
        <b/>
        <sz val="10"/>
        <color rgb="FFFF0000"/>
        <rFont val="Calibri"/>
        <family val="2"/>
        <charset val="204"/>
      </rPr>
      <t>(это получение РнС?)</t>
    </r>
  </si>
  <si>
    <t>почему 4? В годах или месяцах?</t>
  </si>
  <si>
    <t>какая? После смены ВРИ? Или до? Как рассчитывать астоимость аренды?</t>
  </si>
  <si>
    <t>почему 8%? Всегда так или это какое то среднее значение?</t>
  </si>
  <si>
    <r>
      <t xml:space="preserve">Площадь Квартир </t>
    </r>
    <r>
      <rPr>
        <b/>
        <sz val="10"/>
        <color rgb="FFFF0000"/>
        <rFont val="Calibri"/>
        <family val="2"/>
        <charset val="204"/>
      </rPr>
      <t>(продаваемая?)</t>
    </r>
  </si>
  <si>
    <r>
      <t xml:space="preserve">Лобби </t>
    </r>
    <r>
      <rPr>
        <b/>
        <sz val="10"/>
        <color rgb="FFFF0000"/>
        <rFont val="Calibri"/>
        <family val="2"/>
        <charset val="204"/>
      </rPr>
      <t>(не входит в продаваемую?)</t>
    </r>
  </si>
  <si>
    <t>только наземная часть? ГВС?</t>
  </si>
  <si>
    <t>уточнить это доп благоустройство? в СМР не входит?</t>
  </si>
  <si>
    <t xml:space="preserve">это входит в норму? </t>
  </si>
  <si>
    <t>откуда нормативы?</t>
  </si>
  <si>
    <t>1 кв 2032</t>
  </si>
  <si>
    <t>2 кв 2032</t>
  </si>
  <si>
    <t>1 кварлал 2033</t>
  </si>
  <si>
    <t>3 квартал 2031</t>
  </si>
  <si>
    <t>4 квартал 2031</t>
  </si>
  <si>
    <t>1 квартал 2032</t>
  </si>
  <si>
    <t>2 квартал 2032</t>
  </si>
  <si>
    <t>3 квартал 2032</t>
  </si>
  <si>
    <t>4 квартал 2032</t>
  </si>
  <si>
    <t>1 квартал 2033</t>
  </si>
  <si>
    <t>21 кв</t>
  </si>
  <si>
    <t>22кв</t>
  </si>
  <si>
    <t>23 кв</t>
  </si>
  <si>
    <t>24 кв</t>
  </si>
  <si>
    <t>Дербеневская набережная по калькулятору Саевой</t>
  </si>
  <si>
    <t>от площади ГНС</t>
  </si>
  <si>
    <t>уточнить у Елены расценку</t>
  </si>
  <si>
    <t>уточнить у Елены расценку, перенести в раздел "правообладание" Это не ПИР</t>
  </si>
  <si>
    <t>какая единица изм? Уточнить как брать расценку и обем?</t>
  </si>
  <si>
    <t>что обозначает объем (цифра 5 )?</t>
  </si>
  <si>
    <t>объем изменила на продаваемую площадь (кв+ком)</t>
  </si>
  <si>
    <t>БИЗНЕС</t>
  </si>
  <si>
    <t>3 кв 2025-4 кв 2025</t>
  </si>
  <si>
    <t>4 кв 2025</t>
  </si>
  <si>
    <t>1 кв 2026</t>
  </si>
  <si>
    <t>30.09.2029;
01.03.2031;
01.07.2031;
01.10.2031</t>
  </si>
  <si>
    <t>4 кв 2033</t>
  </si>
  <si>
    <t>Площадь проекта -  СПП (ГНС)</t>
  </si>
  <si>
    <t>1 квартал 26</t>
  </si>
  <si>
    <t>2 квартал 26</t>
  </si>
  <si>
    <t>3 квартал 26</t>
  </si>
  <si>
    <t>4 квартал 26</t>
  </si>
  <si>
    <t>1 квартал 27</t>
  </si>
  <si>
    <t>2 квартал 27</t>
  </si>
  <si>
    <t>3 квартал 27</t>
  </si>
  <si>
    <t>3 квартал 30</t>
  </si>
  <si>
    <t>4 квартал 30</t>
  </si>
  <si>
    <t>1 квартал 31</t>
  </si>
  <si>
    <t>2 квартал 31</t>
  </si>
  <si>
    <t>3 квартал 31</t>
  </si>
  <si>
    <t>4 квартал 31</t>
  </si>
  <si>
    <t>1 квартал 32</t>
  </si>
  <si>
    <t>2 квартал 32</t>
  </si>
  <si>
    <t>3 квартал 32</t>
  </si>
  <si>
    <t>4 квартал 32</t>
  </si>
  <si>
    <t>как в ФМ</t>
  </si>
  <si>
    <t>2 квартал 2031</t>
  </si>
  <si>
    <t>Продаваемая площадь</t>
  </si>
  <si>
    <t>Устройство УДС</t>
  </si>
  <si>
    <t>сопутствующи</t>
  </si>
  <si>
    <t>ИТОГО Расходы</t>
  </si>
  <si>
    <t>операц расходы из ФМ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</si>
</sst>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0.0%"/>
    <numFmt numFmtId="166" formatCode="#,##0.0"/>
    <numFmt numFmtId="167" formatCode="_(* #,##0_);_(* \(#,##0\);_(* &quot;-&quot;??_);_(@_)"/>
    <numFmt numFmtId="168" formatCode="_(* #,##0.0_);_(* \(#,##0.0\);_(* &quot;-&quot;??_);_(@_)"/>
    <numFmt numFmtId="169" formatCode="#,##0.000"/>
    <numFmt numFmtId="170" formatCode="_-* #,##0.00\ _₽_-;\-* #,##0.00\ _₽_-;_-* &quot;-&quot;??\ _₽_-;_-@_-"/>
    <numFmt numFmtId="171" formatCode="#,##0;\-#,##0;\-"/>
    <numFmt numFmtId="172" formatCode="0.000%"/>
  </numFmts>
  <fonts count="6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i/>
      <sz val="12"/>
      <color rgb="FFC00000"/>
      <name val="Arial"/>
      <family val="2"/>
    </font>
    <font>
      <sz val="12"/>
      <color theme="0" tint="-4.9989318521683403E-2"/>
      <name val="Arial"/>
      <family val="2"/>
    </font>
    <font>
      <sz val="12"/>
      <color theme="4" tint="-0.499984740745262"/>
      <name val="Arial"/>
      <family val="2"/>
    </font>
    <font>
      <sz val="12"/>
      <color theme="2" tint="-9.9978637043366805E-2"/>
      <name val="Arial"/>
      <family val="2"/>
    </font>
    <font>
      <i/>
      <sz val="12"/>
      <color theme="0" tint="-0.249977111117893"/>
      <name val="Arial"/>
      <family val="2"/>
    </font>
    <font>
      <i/>
      <sz val="12"/>
      <color rgb="FF0070C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2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rial"/>
      <family val="2"/>
      <charset val="204"/>
    </font>
    <font>
      <i/>
      <sz val="12"/>
      <color theme="2" tint="-0.249977111117893"/>
      <name val="Arial"/>
      <family val="2"/>
    </font>
    <font>
      <sz val="12"/>
      <color theme="2" tint="-0.249977111117893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rgb="FFFF0000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2" tint="-9.9978637043366805E-2"/>
      <name val="Arial"/>
      <family val="2"/>
      <charset val="204"/>
    </font>
    <font>
      <i/>
      <sz val="12"/>
      <color rgb="FF002060"/>
      <name val="Arial"/>
      <family val="2"/>
      <charset val="204"/>
    </font>
    <font>
      <b/>
      <sz val="14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0"/>
      <color theme="1"/>
      <name val="Arial"/>
      <family val="2"/>
    </font>
    <font>
      <b/>
      <sz val="12"/>
      <color rgb="FF00B050"/>
      <name val="Arial"/>
      <family val="2"/>
      <charset val="204"/>
    </font>
    <font>
      <b/>
      <sz val="12"/>
      <color rgb="FF0070C0"/>
      <name val="Arial"/>
      <family val="2"/>
      <charset val="204"/>
    </font>
    <font>
      <sz val="10"/>
      <color theme="4" tint="-0.499984740745262"/>
      <name val="Arial"/>
      <family val="2"/>
    </font>
    <font>
      <b/>
      <sz val="10"/>
      <color theme="4" tint="-0.499984740745262"/>
      <name val="Arial"/>
      <family val="2"/>
      <charset val="204"/>
    </font>
    <font>
      <sz val="8"/>
      <name val="Arial"/>
      <family val="2"/>
    </font>
    <font>
      <b/>
      <sz val="9"/>
      <color theme="1"/>
      <name val="Calibri"/>
      <family val="2"/>
      <charset val="204"/>
    </font>
    <font>
      <b/>
      <sz val="9"/>
      <color theme="1"/>
      <name val="Arial"/>
      <family val="2"/>
      <charset val="204"/>
    </font>
    <font>
      <b/>
      <sz val="10"/>
      <color theme="1"/>
      <name val="Calibri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charset val="204"/>
      <scheme val="minor"/>
    </font>
    <font>
      <b/>
      <sz val="10"/>
      <color rgb="FFCC0000"/>
      <name val="Calibri"/>
      <family val="2"/>
      <charset val="204"/>
      <scheme val="minor"/>
    </font>
    <font>
      <b/>
      <sz val="9"/>
      <color theme="0"/>
      <name val="Arial"/>
      <family val="2"/>
    </font>
    <font>
      <b/>
      <sz val="10"/>
      <name val="Calibri"/>
      <family val="2"/>
    </font>
    <font>
      <b/>
      <sz val="10"/>
      <color rgb="FFC00000"/>
      <name val="Arial"/>
      <family val="2"/>
      <charset val="204"/>
    </font>
    <font>
      <sz val="10"/>
      <color rgb="FFC0000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rgb="FFC00000"/>
      <name val="Calibri"/>
      <family val="2"/>
      <charset val="204"/>
      <scheme val="minor"/>
    </font>
    <font>
      <b/>
      <u/>
      <sz val="10"/>
      <color theme="1"/>
      <name val="Calibri"/>
      <family val="2"/>
      <charset val="204"/>
      <scheme val="minor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Calibri"/>
      <family val="2"/>
      <charset val="204"/>
    </font>
    <font>
      <b/>
      <sz val="10"/>
      <color rgb="FFC00000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sz val="12"/>
      <color rgb="FFC00000"/>
      <name val="Arial"/>
      <family val="2"/>
    </font>
    <font>
      <sz val="10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</font>
    <font>
      <sz val="12"/>
      <color rgb="FFFF0000"/>
      <name val="Arial"/>
      <family val="2"/>
      <charset val="204"/>
    </font>
    <font>
      <b/>
      <sz val="9"/>
      <color rgb="FFFF0000"/>
      <name val="Calibri"/>
      <family val="2"/>
      <charset val="204"/>
    </font>
    <font>
      <sz val="9"/>
      <name val="Tahoma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CCCCCC"/>
      </top>
      <bottom/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436">
    <xf numFmtId="0" fontId="0" fillId="0" borderId="0" xfId="0"/>
    <xf numFmtId="0" fontId="4" fillId="0" borderId="0" xfId="0" applyFont="1"/>
    <xf numFmtId="0" fontId="5" fillId="2" borderId="0" xfId="0" applyFont="1" applyFill="1"/>
    <xf numFmtId="3" fontId="4" fillId="0" borderId="0" xfId="0" applyNumberFormat="1" applyFont="1"/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right"/>
    </xf>
    <xf numFmtId="9" fontId="4" fillId="0" borderId="0" xfId="2" applyFont="1"/>
    <xf numFmtId="9" fontId="4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3" applyFont="1" applyAlignment="1">
      <alignment horizontal="justify" vertical="center"/>
    </xf>
    <xf numFmtId="0" fontId="7" fillId="0" borderId="0" xfId="3" applyFont="1" applyAlignment="1">
      <alignment horizontal="right" vertical="center"/>
    </xf>
    <xf numFmtId="0" fontId="4" fillId="0" borderId="0" xfId="3" applyFont="1" applyAlignment="1">
      <alignment horizontal="justify" vertical="center"/>
    </xf>
    <xf numFmtId="3" fontId="4" fillId="0" borderId="0" xfId="3" applyNumberFormat="1" applyFont="1" applyAlignment="1">
      <alignment horizontal="right" vertical="center"/>
    </xf>
    <xf numFmtId="0" fontId="4" fillId="0" borderId="0" xfId="3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0" fontId="4" fillId="3" borderId="0" xfId="3" applyFont="1" applyFill="1" applyAlignment="1">
      <alignment horizontal="left" vertical="center"/>
    </xf>
    <xf numFmtId="3" fontId="4" fillId="3" borderId="0" xfId="3" applyNumberFormat="1" applyFont="1" applyFill="1" applyAlignment="1">
      <alignment horizontal="right" vertical="center"/>
    </xf>
    <xf numFmtId="9" fontId="4" fillId="3" borderId="0" xfId="2" applyFont="1" applyFill="1" applyBorder="1" applyAlignment="1">
      <alignment horizontal="right" vertical="center"/>
    </xf>
    <xf numFmtId="0" fontId="8" fillId="0" borderId="0" xfId="0" applyFont="1"/>
    <xf numFmtId="14" fontId="9" fillId="0" borderId="0" xfId="0" applyNumberFormat="1" applyFont="1" applyAlignment="1">
      <alignment horizontal="center"/>
    </xf>
    <xf numFmtId="14" fontId="10" fillId="0" borderId="0" xfId="0" applyNumberFormat="1" applyFont="1"/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11" fillId="0" borderId="0" xfId="0" applyFont="1"/>
    <xf numFmtId="0" fontId="4" fillId="0" borderId="0" xfId="0" applyFont="1" applyAlignment="1">
      <alignment horizontal="left" vertical="top"/>
    </xf>
    <xf numFmtId="14" fontId="4" fillId="4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14" fontId="4" fillId="0" borderId="0" xfId="0" applyNumberFormat="1" applyFont="1"/>
    <xf numFmtId="0" fontId="6" fillId="0" borderId="0" xfId="0" applyFont="1"/>
    <xf numFmtId="165" fontId="4" fillId="4" borderId="0" xfId="0" applyNumberFormat="1" applyFont="1" applyFill="1"/>
    <xf numFmtId="165" fontId="4" fillId="0" borderId="0" xfId="0" applyNumberFormat="1" applyFont="1"/>
    <xf numFmtId="0" fontId="7" fillId="0" borderId="0" xfId="0" applyFont="1"/>
    <xf numFmtId="3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center"/>
    </xf>
    <xf numFmtId="165" fontId="4" fillId="0" borderId="0" xfId="2" applyNumberFormat="1" applyFont="1"/>
    <xf numFmtId="3" fontId="4" fillId="0" borderId="0" xfId="0" applyNumberFormat="1" applyFont="1" applyAlignment="1">
      <alignment horizontal="right"/>
    </xf>
    <xf numFmtId="0" fontId="12" fillId="0" borderId="0" xfId="0" applyFont="1" applyAlignment="1">
      <alignment horizontal="left" indent="2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 indent="2"/>
    </xf>
    <xf numFmtId="0" fontId="15" fillId="0" borderId="0" xfId="0" applyFont="1"/>
    <xf numFmtId="0" fontId="14" fillId="0" borderId="0" xfId="0" applyFont="1" applyAlignment="1">
      <alignment horizontal="left" indent="2"/>
    </xf>
    <xf numFmtId="3" fontId="16" fillId="0" borderId="0" xfId="0" applyNumberFormat="1" applyFont="1"/>
    <xf numFmtId="10" fontId="4" fillId="0" borderId="0" xfId="2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indent="4"/>
    </xf>
    <xf numFmtId="0" fontId="1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/>
    <xf numFmtId="0" fontId="7" fillId="5" borderId="0" xfId="0" applyFont="1" applyFill="1"/>
    <xf numFmtId="3" fontId="4" fillId="5" borderId="0" xfId="0" applyNumberFormat="1" applyFont="1" applyFill="1" applyAlignment="1">
      <alignment horizontal="center"/>
    </xf>
    <xf numFmtId="3" fontId="19" fillId="0" borderId="0" xfId="0" applyNumberFormat="1" applyFont="1" applyAlignment="1">
      <alignment horizontal="right"/>
    </xf>
    <xf numFmtId="3" fontId="4" fillId="5" borderId="0" xfId="0" applyNumberFormat="1" applyFont="1" applyFill="1"/>
    <xf numFmtId="0" fontId="20" fillId="0" borderId="0" xfId="0" applyFont="1" applyAlignment="1">
      <alignment horizontal="left" indent="2"/>
    </xf>
    <xf numFmtId="3" fontId="21" fillId="0" borderId="0" xfId="0" applyNumberFormat="1" applyFont="1" applyAlignment="1">
      <alignment horizontal="center"/>
    </xf>
    <xf numFmtId="165" fontId="21" fillId="4" borderId="0" xfId="0" applyNumberFormat="1" applyFont="1" applyFill="1"/>
    <xf numFmtId="0" fontId="21" fillId="0" borderId="0" xfId="0" applyFont="1"/>
    <xf numFmtId="165" fontId="21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left" indent="3"/>
    </xf>
    <xf numFmtId="14" fontId="4" fillId="0" borderId="0" xfId="0" applyNumberFormat="1" applyFont="1" applyAlignment="1">
      <alignment horizontal="center"/>
    </xf>
    <xf numFmtId="0" fontId="17" fillId="0" borderId="0" xfId="0" applyFont="1" applyAlignment="1">
      <alignment horizontal="left" indent="3"/>
    </xf>
    <xf numFmtId="165" fontId="4" fillId="4" borderId="0" xfId="0" applyNumberFormat="1" applyFont="1" applyFill="1" applyAlignment="1">
      <alignment horizontal="center"/>
    </xf>
    <xf numFmtId="9" fontId="14" fillId="4" borderId="0" xfId="0" applyNumberFormat="1" applyFont="1" applyFill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3" fontId="24" fillId="0" borderId="0" xfId="0" applyNumberFormat="1" applyFo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165" fontId="24" fillId="0" borderId="0" xfId="2" applyNumberFormat="1" applyFont="1"/>
    <xf numFmtId="165" fontId="14" fillId="0" borderId="0" xfId="2" applyNumberFormat="1" applyFont="1"/>
    <xf numFmtId="0" fontId="26" fillId="0" borderId="0" xfId="0" applyFont="1" applyAlignment="1">
      <alignment horizontal="left"/>
    </xf>
    <xf numFmtId="165" fontId="4" fillId="0" borderId="0" xfId="2" applyNumberFormat="1" applyFont="1" applyAlignment="1">
      <alignment horizontal="center"/>
    </xf>
    <xf numFmtId="0" fontId="11" fillId="0" borderId="0" xfId="0" applyFont="1" applyAlignment="1">
      <alignment horizontal="right"/>
    </xf>
    <xf numFmtId="3" fontId="24" fillId="0" borderId="0" xfId="0" applyNumberFormat="1" applyFont="1" applyAlignment="1">
      <alignment horizontal="right"/>
    </xf>
    <xf numFmtId="3" fontId="7" fillId="5" borderId="0" xfId="0" applyNumberFormat="1" applyFont="1" applyFill="1" applyAlignment="1">
      <alignment horizontal="right"/>
    </xf>
    <xf numFmtId="0" fontId="24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27" fillId="0" borderId="0" xfId="0" applyFont="1"/>
    <xf numFmtId="9" fontId="24" fillId="0" borderId="0" xfId="0" applyNumberFormat="1" applyFont="1" applyAlignment="1">
      <alignment horizontal="right"/>
    </xf>
    <xf numFmtId="9" fontId="4" fillId="0" borderId="0" xfId="2" applyFont="1" applyAlignment="1">
      <alignment horizontal="right"/>
    </xf>
    <xf numFmtId="0" fontId="5" fillId="2" borderId="0" xfId="0" applyFont="1" applyFill="1" applyAlignment="1">
      <alignment horizontal="center"/>
    </xf>
    <xf numFmtId="3" fontId="5" fillId="2" borderId="0" xfId="0" applyNumberFormat="1" applyFont="1" applyFill="1"/>
    <xf numFmtId="3" fontId="7" fillId="5" borderId="0" xfId="0" applyNumberFormat="1" applyFont="1" applyFill="1"/>
    <xf numFmtId="9" fontId="21" fillId="0" borderId="0" xfId="2" applyFont="1" applyAlignment="1">
      <alignment horizontal="right"/>
    </xf>
    <xf numFmtId="0" fontId="19" fillId="0" borderId="0" xfId="0" applyFont="1"/>
    <xf numFmtId="0" fontId="28" fillId="0" borderId="0" xfId="0" applyFont="1" applyAlignment="1">
      <alignment horizontal="left" indent="2"/>
    </xf>
    <xf numFmtId="0" fontId="28" fillId="0" borderId="0" xfId="3" applyFont="1" applyAlignment="1">
      <alignment horizontal="left" vertical="center"/>
    </xf>
    <xf numFmtId="3" fontId="28" fillId="3" borderId="0" xfId="3" applyNumberFormat="1" applyFont="1" applyFill="1" applyAlignment="1">
      <alignment horizontal="right" vertical="center"/>
    </xf>
    <xf numFmtId="0" fontId="4" fillId="6" borderId="0" xfId="3" applyFont="1" applyFill="1" applyAlignment="1">
      <alignment horizontal="left" vertical="center"/>
    </xf>
    <xf numFmtId="3" fontId="4" fillId="6" borderId="0" xfId="3" applyNumberFormat="1" applyFont="1" applyFill="1" applyAlignment="1">
      <alignment horizontal="right" vertical="center"/>
    </xf>
    <xf numFmtId="0" fontId="4" fillId="6" borderId="0" xfId="0" applyFont="1" applyFill="1"/>
    <xf numFmtId="3" fontId="4" fillId="6" borderId="0" xfId="0" applyNumberFormat="1" applyFont="1" applyFill="1"/>
    <xf numFmtId="3" fontId="4" fillId="6" borderId="0" xfId="0" applyNumberFormat="1" applyFont="1" applyFill="1" applyAlignment="1">
      <alignment horizontal="right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 indent="2"/>
    </xf>
    <xf numFmtId="14" fontId="10" fillId="7" borderId="0" xfId="0" applyNumberFormat="1" applyFont="1" applyFill="1"/>
    <xf numFmtId="166" fontId="4" fillId="3" borderId="0" xfId="3" applyNumberFormat="1" applyFont="1" applyFill="1" applyAlignment="1">
      <alignment horizontal="right" vertical="center"/>
    </xf>
    <xf numFmtId="3" fontId="14" fillId="0" borderId="0" xfId="0" applyNumberFormat="1" applyFont="1" applyAlignment="1">
      <alignment horizontal="right"/>
    </xf>
    <xf numFmtId="3" fontId="14" fillId="3" borderId="0" xfId="3" applyNumberFormat="1" applyFont="1" applyFill="1" applyAlignment="1">
      <alignment horizontal="right" vertical="center"/>
    </xf>
    <xf numFmtId="0" fontId="31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0" xfId="0" applyNumberFormat="1"/>
    <xf numFmtId="0" fontId="4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3" fontId="4" fillId="9" borderId="0" xfId="0" applyNumberFormat="1" applyFont="1" applyFill="1"/>
    <xf numFmtId="165" fontId="24" fillId="9" borderId="0" xfId="2" applyNumberFormat="1" applyFont="1" applyFill="1"/>
    <xf numFmtId="0" fontId="4" fillId="10" borderId="0" xfId="0" applyFont="1" applyFill="1"/>
    <xf numFmtId="0" fontId="24" fillId="10" borderId="0" xfId="0" applyFont="1" applyFill="1"/>
    <xf numFmtId="3" fontId="24" fillId="10" borderId="0" xfId="0" applyNumberFormat="1" applyFont="1" applyFill="1"/>
    <xf numFmtId="4" fontId="24" fillId="10" borderId="0" xfId="0" applyNumberFormat="1" applyFont="1" applyFill="1"/>
    <xf numFmtId="0" fontId="34" fillId="0" borderId="0" xfId="0" applyFont="1"/>
    <xf numFmtId="3" fontId="34" fillId="0" borderId="0" xfId="0" applyNumberFormat="1" applyFont="1" applyAlignment="1">
      <alignment horizontal="right"/>
    </xf>
    <xf numFmtId="3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3" fontId="34" fillId="0" borderId="0" xfId="0" applyNumberFormat="1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/>
    </xf>
    <xf numFmtId="2" fontId="34" fillId="0" borderId="0" xfId="0" applyNumberFormat="1" applyFont="1"/>
    <xf numFmtId="0" fontId="35" fillId="0" borderId="0" xfId="0" applyFont="1"/>
    <xf numFmtId="0" fontId="35" fillId="0" borderId="0" xfId="0" applyFont="1" applyAlignment="1">
      <alignment horizontal="right"/>
    </xf>
    <xf numFmtId="3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 indent="2"/>
    </xf>
    <xf numFmtId="3" fontId="35" fillId="0" borderId="0" xfId="0" applyNumberFormat="1" applyFont="1" applyAlignment="1">
      <alignment horizontal="right"/>
    </xf>
    <xf numFmtId="10" fontId="35" fillId="0" borderId="0" xfId="2" applyNumberFormat="1" applyFont="1" applyFill="1" applyAlignment="1">
      <alignment horizontal="center"/>
    </xf>
    <xf numFmtId="3" fontId="35" fillId="0" borderId="0" xfId="0" applyNumberFormat="1" applyFont="1"/>
    <xf numFmtId="2" fontId="35" fillId="0" borderId="0" xfId="0" applyNumberFormat="1" applyFont="1" applyAlignment="1">
      <alignment horizontal="center"/>
    </xf>
    <xf numFmtId="0" fontId="4" fillId="5" borderId="0" xfId="0" applyFont="1" applyFill="1"/>
    <xf numFmtId="0" fontId="24" fillId="5" borderId="0" xfId="0" applyFont="1" applyFill="1"/>
    <xf numFmtId="4" fontId="24" fillId="5" borderId="0" xfId="0" applyNumberFormat="1" applyFont="1" applyFill="1"/>
    <xf numFmtId="0" fontId="31" fillId="0" borderId="3" xfId="0" applyFont="1" applyBorder="1" applyAlignment="1">
      <alignment wrapText="1"/>
    </xf>
    <xf numFmtId="167" fontId="36" fillId="0" borderId="0" xfId="1" applyNumberFormat="1" applyFont="1"/>
    <xf numFmtId="167" fontId="0" fillId="0" borderId="0" xfId="1" applyNumberFormat="1" applyFont="1"/>
    <xf numFmtId="165" fontId="36" fillId="0" borderId="0" xfId="2" applyNumberFormat="1" applyFont="1"/>
    <xf numFmtId="167" fontId="37" fillId="13" borderId="0" xfId="1" applyNumberFormat="1" applyFont="1" applyFill="1"/>
    <xf numFmtId="0" fontId="41" fillId="0" borderId="0" xfId="0" applyFont="1"/>
    <xf numFmtId="9" fontId="0" fillId="0" borderId="0" xfId="0" applyNumberFormat="1"/>
    <xf numFmtId="0" fontId="42" fillId="0" borderId="0" xfId="0" applyFont="1"/>
    <xf numFmtId="4" fontId="0" fillId="0" borderId="0" xfId="0" applyNumberFormat="1"/>
    <xf numFmtId="4" fontId="33" fillId="0" borderId="0" xfId="0" applyNumberFormat="1" applyFont="1"/>
    <xf numFmtId="3" fontId="33" fillId="0" borderId="0" xfId="0" applyNumberFormat="1" applyFont="1"/>
    <xf numFmtId="168" fontId="0" fillId="0" borderId="0" xfId="0" applyNumberFormat="1"/>
    <xf numFmtId="0" fontId="30" fillId="0" borderId="0" xfId="0" applyFont="1" applyBorder="1" applyAlignment="1">
      <alignment wrapText="1"/>
    </xf>
    <xf numFmtId="0" fontId="0" fillId="0" borderId="0" xfId="0" applyBorder="1"/>
    <xf numFmtId="9" fontId="31" fillId="0" borderId="0" xfId="0" applyNumberFormat="1" applyFont="1" applyBorder="1" applyAlignment="1">
      <alignment horizontal="right" wrapText="1"/>
    </xf>
    <xf numFmtId="0" fontId="30" fillId="0" borderId="2" xfId="0" applyFont="1" applyBorder="1" applyAlignment="1">
      <alignment wrapText="1"/>
    </xf>
    <xf numFmtId="0" fontId="31" fillId="0" borderId="2" xfId="0" applyFont="1" applyBorder="1" applyAlignment="1">
      <alignment wrapText="1"/>
    </xf>
    <xf numFmtId="0" fontId="31" fillId="0" borderId="2" xfId="0" applyFont="1" applyBorder="1" applyAlignment="1">
      <alignment horizontal="center" wrapText="1"/>
    </xf>
    <xf numFmtId="0" fontId="31" fillId="0" borderId="2" xfId="0" applyFont="1" applyFill="1" applyBorder="1" applyAlignment="1">
      <alignment horizontal="center" wrapText="1"/>
    </xf>
    <xf numFmtId="0" fontId="30" fillId="0" borderId="2" xfId="0" applyFont="1" applyBorder="1" applyAlignment="1">
      <alignment horizontal="right" wrapText="1"/>
    </xf>
    <xf numFmtId="9" fontId="30" fillId="0" borderId="2" xfId="0" applyNumberFormat="1" applyFont="1" applyBorder="1" applyAlignment="1">
      <alignment horizontal="right" wrapText="1"/>
    </xf>
    <xf numFmtId="0" fontId="30" fillId="0" borderId="2" xfId="0" applyFont="1" applyBorder="1" applyAlignment="1">
      <alignment horizontal="center" wrapText="1"/>
    </xf>
    <xf numFmtId="1" fontId="30" fillId="0" borderId="2" xfId="0" applyNumberFormat="1" applyFont="1" applyBorder="1" applyAlignment="1">
      <alignment horizontal="center" wrapText="1"/>
    </xf>
    <xf numFmtId="167" fontId="30" fillId="0" borderId="2" xfId="0" applyNumberFormat="1" applyFont="1" applyBorder="1" applyAlignment="1">
      <alignment horizontal="right" wrapText="1"/>
    </xf>
    <xf numFmtId="1" fontId="0" fillId="0" borderId="2" xfId="0" applyNumberFormat="1" applyBorder="1" applyAlignment="1">
      <alignment horizontal="center"/>
    </xf>
    <xf numFmtId="167" fontId="31" fillId="0" borderId="2" xfId="1" applyNumberFormat="1" applyFont="1" applyBorder="1" applyAlignment="1">
      <alignment horizontal="center" wrapText="1"/>
    </xf>
    <xf numFmtId="1" fontId="31" fillId="0" borderId="2" xfId="0" applyNumberFormat="1" applyFont="1" applyBorder="1" applyAlignment="1">
      <alignment horizontal="center" wrapText="1"/>
    </xf>
    <xf numFmtId="167" fontId="31" fillId="0" borderId="2" xfId="0" applyNumberFormat="1" applyFont="1" applyBorder="1" applyAlignment="1">
      <alignment horizontal="right" wrapText="1"/>
    </xf>
    <xf numFmtId="168" fontId="31" fillId="0" borderId="2" xfId="0" applyNumberFormat="1" applyFont="1" applyBorder="1" applyAlignment="1">
      <alignment wrapText="1"/>
    </xf>
    <xf numFmtId="3" fontId="30" fillId="0" borderId="2" xfId="0" applyNumberFormat="1" applyFont="1" applyBorder="1" applyAlignment="1">
      <alignment horizontal="center" wrapText="1"/>
    </xf>
    <xf numFmtId="3" fontId="31" fillId="0" borderId="2" xfId="0" applyNumberFormat="1" applyFont="1" applyBorder="1" applyAlignment="1">
      <alignment horizontal="center" wrapText="1"/>
    </xf>
    <xf numFmtId="0" fontId="43" fillId="0" borderId="0" xfId="0" applyFont="1"/>
    <xf numFmtId="0" fontId="43" fillId="0" borderId="1" xfId="0" applyFont="1" applyBorder="1"/>
    <xf numFmtId="0" fontId="0" fillId="0" borderId="1" xfId="0" applyBorder="1"/>
    <xf numFmtId="3" fontId="0" fillId="0" borderId="1" xfId="0" applyNumberFormat="1" applyBorder="1"/>
    <xf numFmtId="10" fontId="0" fillId="0" borderId="0" xfId="0" applyNumberFormat="1"/>
    <xf numFmtId="3" fontId="43" fillId="0" borderId="0" xfId="0" applyNumberFormat="1" applyFont="1"/>
    <xf numFmtId="0" fontId="0" fillId="0" borderId="0" xfId="0" applyAlignment="1">
      <alignment horizontal="left"/>
    </xf>
    <xf numFmtId="3" fontId="0" fillId="0" borderId="1" xfId="0" applyNumberFormat="1" applyFill="1" applyBorder="1"/>
    <xf numFmtId="164" fontId="5" fillId="2" borderId="0" xfId="1" applyFont="1" applyFill="1" applyAlignment="1">
      <alignment horizontal="center"/>
    </xf>
    <xf numFmtId="0" fontId="30" fillId="0" borderId="2" xfId="0" applyFont="1" applyFill="1" applyBorder="1" applyAlignment="1">
      <alignment horizontal="center" wrapText="1"/>
    </xf>
    <xf numFmtId="167" fontId="30" fillId="0" borderId="2" xfId="1" applyNumberFormat="1" applyFont="1" applyFill="1" applyBorder="1" applyAlignment="1">
      <alignment horizontal="right" wrapText="1"/>
    </xf>
    <xf numFmtId="0" fontId="31" fillId="0" borderId="2" xfId="0" applyFont="1" applyFill="1" applyBorder="1" applyAlignment="1">
      <alignment wrapText="1"/>
    </xf>
    <xf numFmtId="3" fontId="30" fillId="0" borderId="2" xfId="0" applyNumberFormat="1" applyFont="1" applyFill="1" applyBorder="1" applyAlignment="1">
      <alignment wrapText="1"/>
    </xf>
    <xf numFmtId="0" fontId="30" fillId="0" borderId="2" xfId="0" applyFont="1" applyFill="1" applyBorder="1" applyAlignment="1">
      <alignment horizontal="right" wrapText="1"/>
    </xf>
    <xf numFmtId="9" fontId="30" fillId="0" borderId="2" xfId="0" applyNumberFormat="1" applyFont="1" applyFill="1" applyBorder="1" applyAlignment="1">
      <alignment horizontal="right" wrapText="1"/>
    </xf>
    <xf numFmtId="1" fontId="30" fillId="0" borderId="2" xfId="0" applyNumberFormat="1" applyFont="1" applyFill="1" applyBorder="1" applyAlignment="1">
      <alignment horizontal="center" wrapText="1"/>
    </xf>
    <xf numFmtId="167" fontId="30" fillId="0" borderId="2" xfId="0" applyNumberFormat="1" applyFont="1" applyFill="1" applyBorder="1" applyAlignment="1">
      <alignment horizontal="right" wrapText="1"/>
    </xf>
    <xf numFmtId="0" fontId="30" fillId="0" borderId="2" xfId="0" applyFont="1" applyFill="1" applyBorder="1" applyAlignment="1">
      <alignment wrapText="1"/>
    </xf>
    <xf numFmtId="3" fontId="30" fillId="0" borderId="2" xfId="0" applyNumberFormat="1" applyFont="1" applyFill="1" applyBorder="1" applyAlignment="1">
      <alignment horizontal="center" wrapText="1"/>
    </xf>
    <xf numFmtId="0" fontId="0" fillId="0" borderId="2" xfId="0" applyFill="1" applyBorder="1"/>
    <xf numFmtId="167" fontId="31" fillId="0" borderId="2" xfId="1" applyNumberFormat="1" applyFont="1" applyFill="1" applyBorder="1" applyAlignment="1">
      <alignment horizontal="center" wrapText="1"/>
    </xf>
    <xf numFmtId="1" fontId="31" fillId="0" borderId="2" xfId="0" applyNumberFormat="1" applyFont="1" applyFill="1" applyBorder="1" applyAlignment="1">
      <alignment horizontal="center" wrapText="1"/>
    </xf>
    <xf numFmtId="167" fontId="31" fillId="0" borderId="2" xfId="0" applyNumberFormat="1" applyFont="1" applyFill="1" applyBorder="1" applyAlignment="1">
      <alignment horizontal="right" wrapText="1"/>
    </xf>
    <xf numFmtId="0" fontId="30" fillId="0" borderId="0" xfId="0" applyFont="1" applyFill="1" applyBorder="1" applyAlignment="1">
      <alignment wrapText="1"/>
    </xf>
    <xf numFmtId="9" fontId="31" fillId="0" borderId="0" xfId="0" applyNumberFormat="1" applyFont="1" applyFill="1" applyBorder="1" applyAlignment="1">
      <alignment horizontal="right" wrapText="1"/>
    </xf>
    <xf numFmtId="4" fontId="0" fillId="15" borderId="0" xfId="0" applyNumberFormat="1" applyFill="1"/>
    <xf numFmtId="0" fontId="46" fillId="15" borderId="0" xfId="0" applyFont="1" applyFill="1" applyAlignment="1">
      <alignment horizontal="center" vertical="center"/>
    </xf>
    <xf numFmtId="9" fontId="0" fillId="15" borderId="0" xfId="0" applyNumberFormat="1" applyFill="1"/>
    <xf numFmtId="0" fontId="30" fillId="15" borderId="2" xfId="0" applyFont="1" applyFill="1" applyBorder="1" applyAlignment="1">
      <alignment horizontal="center" wrapText="1"/>
    </xf>
    <xf numFmtId="4" fontId="31" fillId="0" borderId="0" xfId="0" applyNumberFormat="1" applyFont="1"/>
    <xf numFmtId="9" fontId="31" fillId="0" borderId="0" xfId="0" applyNumberFormat="1" applyFont="1"/>
    <xf numFmtId="3" fontId="30" fillId="3" borderId="2" xfId="0" applyNumberFormat="1" applyFont="1" applyFill="1" applyBorder="1" applyAlignment="1">
      <alignment wrapText="1"/>
    </xf>
    <xf numFmtId="3" fontId="31" fillId="3" borderId="2" xfId="0" applyNumberFormat="1" applyFont="1" applyFill="1" applyBorder="1" applyAlignment="1">
      <alignment wrapText="1"/>
    </xf>
    <xf numFmtId="3" fontId="30" fillId="3" borderId="2" xfId="0" applyNumberFormat="1" applyFont="1" applyFill="1" applyBorder="1" applyAlignment="1">
      <alignment horizontal="center" wrapText="1"/>
    </xf>
    <xf numFmtId="167" fontId="30" fillId="15" borderId="2" xfId="1" applyNumberFormat="1" applyFont="1" applyFill="1" applyBorder="1" applyAlignment="1">
      <alignment horizontal="right" wrapText="1"/>
    </xf>
    <xf numFmtId="0" fontId="30" fillId="15" borderId="2" xfId="0" applyFont="1" applyFill="1" applyBorder="1" applyAlignment="1">
      <alignment wrapText="1"/>
    </xf>
    <xf numFmtId="167" fontId="36" fillId="15" borderId="0" xfId="1" applyNumberFormat="1" applyFont="1" applyFill="1"/>
    <xf numFmtId="0" fontId="31" fillId="14" borderId="0" xfId="0" applyFont="1" applyFill="1"/>
    <xf numFmtId="0" fontId="24" fillId="14" borderId="0" xfId="0" applyFont="1" applyFill="1"/>
    <xf numFmtId="14" fontId="37" fillId="14" borderId="0" xfId="0" applyNumberFormat="1" applyFont="1" applyFill="1"/>
    <xf numFmtId="3" fontId="24" fillId="14" borderId="0" xfId="0" applyNumberFormat="1" applyFont="1" applyFill="1"/>
    <xf numFmtId="3" fontId="31" fillId="14" borderId="0" xfId="0" applyNumberFormat="1" applyFont="1" applyFill="1"/>
    <xf numFmtId="3" fontId="32" fillId="14" borderId="0" xfId="0" applyNumberFormat="1" applyFont="1" applyFill="1"/>
    <xf numFmtId="0" fontId="47" fillId="0" borderId="0" xfId="0" applyFont="1" applyFill="1"/>
    <xf numFmtId="1" fontId="47" fillId="0" borderId="0" xfId="0" applyNumberFormat="1" applyFont="1" applyFill="1"/>
    <xf numFmtId="0" fontId="48" fillId="0" borderId="0" xfId="0" applyFont="1" applyFill="1"/>
    <xf numFmtId="3" fontId="48" fillId="0" borderId="0" xfId="0" applyNumberFormat="1" applyFont="1" applyFill="1"/>
    <xf numFmtId="168" fontId="48" fillId="0" borderId="0" xfId="0" applyNumberFormat="1" applyFont="1" applyFill="1"/>
    <xf numFmtId="3" fontId="7" fillId="14" borderId="0" xfId="0" applyNumberFormat="1" applyFont="1" applyFill="1" applyAlignment="1">
      <alignment horizontal="right"/>
    </xf>
    <xf numFmtId="3" fontId="19" fillId="14" borderId="0" xfId="0" applyNumberFormat="1" applyFont="1" applyFill="1" applyAlignment="1">
      <alignment horizontal="right"/>
    </xf>
    <xf numFmtId="9" fontId="4" fillId="14" borderId="0" xfId="0" applyNumberFormat="1" applyFont="1" applyFill="1" applyAlignment="1">
      <alignment horizontal="right"/>
    </xf>
    <xf numFmtId="3" fontId="4" fillId="14" borderId="0" xfId="0" applyNumberFormat="1" applyFont="1" applyFill="1" applyAlignment="1">
      <alignment horizontal="right"/>
    </xf>
    <xf numFmtId="0" fontId="43" fillId="0" borderId="0" xfId="0" applyFont="1" applyBorder="1"/>
    <xf numFmtId="3" fontId="0" fillId="0" borderId="0" xfId="0" applyNumberFormat="1" applyBorder="1"/>
    <xf numFmtId="3" fontId="43" fillId="0" borderId="0" xfId="0" applyNumberFormat="1" applyFont="1" applyFill="1" applyBorder="1"/>
    <xf numFmtId="165" fontId="43" fillId="0" borderId="0" xfId="0" applyNumberFormat="1" applyFont="1" applyBorder="1" applyAlignment="1">
      <alignment horizontal="center"/>
    </xf>
    <xf numFmtId="3" fontId="0" fillId="0" borderId="0" xfId="0" applyNumberFormat="1" applyFill="1" applyBorder="1"/>
    <xf numFmtId="0" fontId="44" fillId="0" borderId="0" xfId="0" applyFont="1" applyBorder="1"/>
    <xf numFmtId="3" fontId="43" fillId="0" borderId="0" xfId="0" applyNumberFormat="1" applyFont="1" applyBorder="1"/>
    <xf numFmtId="3" fontId="33" fillId="15" borderId="0" xfId="0" applyNumberFormat="1" applyFont="1" applyFill="1" applyBorder="1"/>
    <xf numFmtId="165" fontId="49" fillId="15" borderId="0" xfId="0" applyNumberFormat="1" applyFont="1" applyFill="1" applyBorder="1"/>
    <xf numFmtId="10" fontId="33" fillId="15" borderId="0" xfId="0" applyNumberFormat="1" applyFont="1" applyFill="1" applyBorder="1"/>
    <xf numFmtId="9" fontId="33" fillId="15" borderId="1" xfId="0" applyNumberFormat="1" applyFont="1" applyFill="1" applyBorder="1"/>
    <xf numFmtId="165" fontId="43" fillId="0" borderId="1" xfId="0" applyNumberFormat="1" applyFont="1" applyBorder="1" applyAlignment="1">
      <alignment horizontal="center"/>
    </xf>
    <xf numFmtId="0" fontId="52" fillId="0" borderId="0" xfId="0" applyFont="1" applyBorder="1"/>
    <xf numFmtId="3" fontId="52" fillId="0" borderId="0" xfId="0" applyNumberFormat="1" applyFont="1" applyBorder="1"/>
    <xf numFmtId="165" fontId="51" fillId="0" borderId="0" xfId="0" applyNumberFormat="1" applyFont="1" applyBorder="1" applyAlignment="1">
      <alignment horizontal="center"/>
    </xf>
    <xf numFmtId="3" fontId="33" fillId="15" borderId="1" xfId="0" applyNumberFormat="1" applyFont="1" applyFill="1" applyBorder="1"/>
    <xf numFmtId="3" fontId="53" fillId="0" borderId="0" xfId="0" applyNumberFormat="1" applyFont="1" applyBorder="1"/>
    <xf numFmtId="3" fontId="33" fillId="0" borderId="0" xfId="0" applyNumberFormat="1" applyFont="1" applyFill="1" applyBorder="1"/>
    <xf numFmtId="0" fontId="33" fillId="0" borderId="0" xfId="0" applyFont="1" applyAlignment="1">
      <alignment horizontal="center" vertical="center"/>
    </xf>
    <xf numFmtId="0" fontId="33" fillId="0" borderId="0" xfId="0" applyFont="1"/>
    <xf numFmtId="164" fontId="39" fillId="14" borderId="3" xfId="1" applyNumberFormat="1" applyFont="1" applyFill="1" applyBorder="1" applyAlignment="1">
      <alignment horizontal="right" wrapText="1"/>
    </xf>
    <xf numFmtId="10" fontId="40" fillId="15" borderId="3" xfId="0" applyNumberFormat="1" applyFont="1" applyFill="1" applyBorder="1" applyAlignment="1">
      <alignment wrapText="1"/>
    </xf>
    <xf numFmtId="0" fontId="31" fillId="0" borderId="4" xfId="0" applyFont="1" applyBorder="1" applyAlignment="1">
      <alignment wrapText="1"/>
    </xf>
    <xf numFmtId="0" fontId="31" fillId="0" borderId="7" xfId="0" applyFont="1" applyBorder="1" applyAlignment="1">
      <alignment wrapText="1"/>
    </xf>
    <xf numFmtId="3" fontId="54" fillId="3" borderId="10" xfId="0" applyNumberFormat="1" applyFont="1" applyFill="1" applyBorder="1" applyAlignment="1">
      <alignment horizontal="right" wrapText="1"/>
    </xf>
    <xf numFmtId="0" fontId="39" fillId="11" borderId="5" xfId="0" applyFont="1" applyFill="1" applyBorder="1" applyAlignment="1">
      <alignment horizontal="center" wrapText="1"/>
    </xf>
    <xf numFmtId="10" fontId="40" fillId="14" borderId="7" xfId="0" applyNumberFormat="1" applyFont="1" applyFill="1" applyBorder="1" applyAlignment="1">
      <alignment wrapText="1"/>
    </xf>
    <xf numFmtId="164" fontId="39" fillId="14" borderId="7" xfId="1" applyNumberFormat="1" applyFont="1" applyFill="1" applyBorder="1" applyAlignment="1">
      <alignment horizontal="right" wrapText="1"/>
    </xf>
    <xf numFmtId="0" fontId="39" fillId="12" borderId="8" xfId="0" applyFont="1" applyFill="1" applyBorder="1" applyAlignment="1">
      <alignment horizontal="left" wrapText="1"/>
    </xf>
    <xf numFmtId="0" fontId="39" fillId="12" borderId="9" xfId="0" applyFont="1" applyFill="1" applyBorder="1" applyAlignment="1">
      <alignment horizontal="center" wrapText="1"/>
    </xf>
    <xf numFmtId="3" fontId="39" fillId="12" borderId="10" xfId="0" applyNumberFormat="1" applyFont="1" applyFill="1" applyBorder="1" applyAlignment="1">
      <alignment horizontal="center" wrapText="1"/>
    </xf>
    <xf numFmtId="0" fontId="31" fillId="0" borderId="5" xfId="0" applyFont="1" applyBorder="1" applyAlignment="1">
      <alignment wrapText="1"/>
    </xf>
    <xf numFmtId="0" fontId="45" fillId="2" borderId="13" xfId="0" applyFont="1" applyFill="1" applyBorder="1" applyAlignment="1">
      <alignment horizontal="center"/>
    </xf>
    <xf numFmtId="0" fontId="45" fillId="2" borderId="14" xfId="0" applyFont="1" applyFill="1" applyBorder="1" applyAlignment="1">
      <alignment horizontal="center"/>
    </xf>
    <xf numFmtId="0" fontId="39" fillId="14" borderId="16" xfId="0" applyFont="1" applyFill="1" applyBorder="1" applyAlignment="1">
      <alignment wrapText="1"/>
    </xf>
    <xf numFmtId="0" fontId="39" fillId="14" borderId="17" xfId="0" applyFont="1" applyFill="1" applyBorder="1" applyAlignment="1">
      <alignment wrapText="1"/>
    </xf>
    <xf numFmtId="0" fontId="33" fillId="0" borderId="0" xfId="0" applyFont="1" applyBorder="1"/>
    <xf numFmtId="0" fontId="39" fillId="11" borderId="11" xfId="0" applyFont="1" applyFill="1" applyBorder="1" applyAlignment="1">
      <alignment horizontal="center" wrapText="1"/>
    </xf>
    <xf numFmtId="0" fontId="45" fillId="2" borderId="18" xfId="0" applyFont="1" applyFill="1" applyBorder="1" applyAlignment="1">
      <alignment horizontal="center"/>
    </xf>
    <xf numFmtId="0" fontId="40" fillId="11" borderId="19" xfId="0" applyFont="1" applyFill="1" applyBorder="1" applyAlignment="1">
      <alignment wrapText="1"/>
    </xf>
    <xf numFmtId="3" fontId="40" fillId="12" borderId="6" xfId="0" applyNumberFormat="1" applyFont="1" applyFill="1" applyBorder="1" applyAlignment="1">
      <alignment wrapText="1"/>
    </xf>
    <xf numFmtId="164" fontId="39" fillId="14" borderId="20" xfId="1" applyNumberFormat="1" applyFont="1" applyFill="1" applyBorder="1" applyAlignment="1">
      <alignment horizontal="right" wrapText="1"/>
    </xf>
    <xf numFmtId="3" fontId="54" fillId="0" borderId="6" xfId="0" applyNumberFormat="1" applyFont="1" applyBorder="1" applyAlignment="1">
      <alignment horizontal="right" wrapText="1"/>
    </xf>
    <xf numFmtId="9" fontId="39" fillId="15" borderId="3" xfId="0" applyNumberFormat="1" applyFont="1" applyFill="1" applyBorder="1" applyAlignment="1">
      <alignment horizontal="center" wrapText="1"/>
    </xf>
    <xf numFmtId="0" fontId="39" fillId="3" borderId="17" xfId="0" applyFont="1" applyFill="1" applyBorder="1" applyAlignment="1">
      <alignment wrapText="1"/>
    </xf>
    <xf numFmtId="3" fontId="39" fillId="3" borderId="3" xfId="0" applyNumberFormat="1" applyFont="1" applyFill="1" applyBorder="1" applyAlignment="1">
      <alignment horizontal="right" wrapText="1"/>
    </xf>
    <xf numFmtId="0" fontId="39" fillId="0" borderId="3" xfId="0" applyFont="1" applyBorder="1" applyAlignment="1">
      <alignment horizontal="center" wrapText="1"/>
    </xf>
    <xf numFmtId="0" fontId="40" fillId="0" borderId="17" xfId="0" applyFont="1" applyBorder="1" applyAlignment="1">
      <alignment wrapText="1"/>
    </xf>
    <xf numFmtId="0" fontId="39" fillId="0" borderId="5" xfId="0" applyFont="1" applyBorder="1" applyAlignment="1">
      <alignment horizontal="center" wrapText="1"/>
    </xf>
    <xf numFmtId="3" fontId="0" fillId="15" borderId="0" xfId="0" applyNumberFormat="1" applyFill="1" applyBorder="1"/>
    <xf numFmtId="165" fontId="36" fillId="15" borderId="0" xfId="2" applyNumberFormat="1" applyFont="1" applyFill="1"/>
    <xf numFmtId="0" fontId="33" fillId="0" borderId="1" xfId="0" applyFont="1" applyBorder="1"/>
    <xf numFmtId="3" fontId="49" fillId="0" borderId="0" xfId="0" applyNumberFormat="1" applyFont="1" applyBorder="1"/>
    <xf numFmtId="3" fontId="33" fillId="0" borderId="0" xfId="0" applyNumberFormat="1" applyFont="1" applyBorder="1"/>
    <xf numFmtId="3" fontId="33" fillId="0" borderId="1" xfId="0" applyNumberFormat="1" applyFont="1" applyBorder="1"/>
    <xf numFmtId="3" fontId="49" fillId="0" borderId="0" xfId="0" applyNumberFormat="1" applyFont="1"/>
    <xf numFmtId="9" fontId="33" fillId="15" borderId="0" xfId="0" applyNumberFormat="1" applyFont="1" applyFill="1"/>
    <xf numFmtId="9" fontId="33" fillId="0" borderId="0" xfId="0" applyNumberFormat="1" applyFont="1"/>
    <xf numFmtId="9" fontId="49" fillId="15" borderId="0" xfId="0" applyNumberFormat="1" applyFont="1" applyFill="1"/>
    <xf numFmtId="9" fontId="33" fillId="0" borderId="0" xfId="2" applyFont="1"/>
    <xf numFmtId="9" fontId="49" fillId="0" borderId="0" xfId="0" applyNumberFormat="1" applyFont="1" applyAlignment="1">
      <alignment horizontal="center"/>
    </xf>
    <xf numFmtId="10" fontId="33" fillId="0" borderId="0" xfId="0" applyNumberFormat="1" applyFont="1"/>
    <xf numFmtId="10" fontId="24" fillId="15" borderId="0" xfId="0" applyNumberFormat="1" applyFont="1" applyFill="1" applyAlignment="1">
      <alignment horizontal="center"/>
    </xf>
    <xf numFmtId="165" fontId="24" fillId="15" borderId="0" xfId="0" applyNumberFormat="1" applyFont="1" applyFill="1" applyAlignment="1">
      <alignment horizontal="center"/>
    </xf>
    <xf numFmtId="0" fontId="4" fillId="4" borderId="0" xfId="0" applyFont="1" applyFill="1"/>
    <xf numFmtId="14" fontId="10" fillId="4" borderId="0" xfId="0" applyNumberFormat="1" applyFont="1" applyFill="1"/>
    <xf numFmtId="0" fontId="11" fillId="4" borderId="0" xfId="0" applyFont="1" applyFill="1"/>
    <xf numFmtId="14" fontId="4" fillId="4" borderId="0" xfId="0" applyNumberFormat="1" applyFont="1" applyFill="1"/>
    <xf numFmtId="3" fontId="5" fillId="4" borderId="0" xfId="0" applyNumberFormat="1" applyFont="1" applyFill="1"/>
    <xf numFmtId="3" fontId="4" fillId="4" borderId="0" xfId="0" applyNumberFormat="1" applyFont="1" applyFill="1" applyAlignment="1">
      <alignment horizontal="right"/>
    </xf>
    <xf numFmtId="3" fontId="4" fillId="4" borderId="0" xfId="0" applyNumberFormat="1" applyFont="1" applyFill="1"/>
    <xf numFmtId="3" fontId="24" fillId="4" borderId="0" xfId="0" applyNumberFormat="1" applyFont="1" applyFill="1" applyAlignment="1">
      <alignment horizontal="right"/>
    </xf>
    <xf numFmtId="3" fontId="24" fillId="4" borderId="0" xfId="0" applyNumberFormat="1" applyFont="1" applyFill="1"/>
    <xf numFmtId="9" fontId="4" fillId="4" borderId="0" xfId="2" applyFont="1" applyFill="1"/>
    <xf numFmtId="165" fontId="14" fillId="4" borderId="0" xfId="2" applyNumberFormat="1" applyFont="1" applyFill="1"/>
    <xf numFmtId="165" fontId="24" fillId="4" borderId="0" xfId="2" applyNumberFormat="1" applyFont="1" applyFill="1"/>
    <xf numFmtId="165" fontId="4" fillId="4" borderId="0" xfId="2" applyNumberFormat="1" applyFont="1" applyFill="1"/>
    <xf numFmtId="9" fontId="4" fillId="4" borderId="0" xfId="0" applyNumberFormat="1" applyFont="1" applyFill="1"/>
    <xf numFmtId="0" fontId="6" fillId="4" borderId="0" xfId="0" applyFont="1" applyFill="1"/>
    <xf numFmtId="0" fontId="34" fillId="4" borderId="0" xfId="0" applyFont="1" applyFill="1"/>
    <xf numFmtId="3" fontId="34" fillId="4" borderId="0" xfId="0" applyNumberFormat="1" applyFont="1" applyFill="1"/>
    <xf numFmtId="2" fontId="34" fillId="4" borderId="0" xfId="0" applyNumberFormat="1" applyFont="1" applyFill="1"/>
    <xf numFmtId="0" fontId="24" fillId="4" borderId="0" xfId="0" applyFont="1" applyFill="1"/>
    <xf numFmtId="0" fontId="35" fillId="4" borderId="0" xfId="0" applyFont="1" applyFill="1"/>
    <xf numFmtId="3" fontId="35" fillId="4" borderId="0" xfId="0" applyNumberFormat="1" applyFont="1" applyFill="1"/>
    <xf numFmtId="0" fontId="14" fillId="4" borderId="0" xfId="0" applyFont="1" applyFill="1"/>
    <xf numFmtId="3" fontId="4" fillId="0" borderId="0" xfId="0" applyNumberFormat="1" applyFont="1" applyAlignment="1">
      <alignment horizontal="left" indent="2"/>
    </xf>
    <xf numFmtId="3" fontId="4" fillId="6" borderId="0" xfId="0" applyNumberFormat="1" applyFont="1" applyFill="1" applyAlignment="1">
      <alignment horizontal="left" indent="2"/>
    </xf>
    <xf numFmtId="0" fontId="0" fillId="0" borderId="0" xfId="0" applyFill="1" applyBorder="1"/>
    <xf numFmtId="3" fontId="44" fillId="0" borderId="0" xfId="0" applyNumberFormat="1" applyFont="1" applyBorder="1"/>
    <xf numFmtId="3" fontId="44" fillId="0" borderId="0" xfId="0" applyNumberFormat="1" applyFont="1" applyFill="1" applyBorder="1"/>
    <xf numFmtId="3" fontId="31" fillId="15" borderId="0" xfId="0" applyNumberFormat="1" applyFont="1" applyFill="1" applyBorder="1"/>
    <xf numFmtId="165" fontId="31" fillId="15" borderId="0" xfId="2" applyNumberFormat="1" applyFont="1" applyFill="1" applyBorder="1"/>
    <xf numFmtId="165" fontId="50" fillId="15" borderId="0" xfId="0" applyNumberFormat="1" applyFont="1" applyFill="1" applyBorder="1"/>
    <xf numFmtId="165" fontId="31" fillId="15" borderId="0" xfId="0" applyNumberFormat="1" applyFont="1" applyFill="1" applyBorder="1"/>
    <xf numFmtId="3" fontId="12" fillId="0" borderId="0" xfId="0" applyNumberFormat="1" applyFont="1" applyAlignment="1">
      <alignment horizontal="left" indent="2"/>
    </xf>
    <xf numFmtId="3" fontId="55" fillId="15" borderId="0" xfId="0" applyNumberFormat="1" applyFont="1" applyFill="1" applyBorder="1"/>
    <xf numFmtId="3" fontId="14" fillId="0" borderId="0" xfId="0" applyNumberFormat="1" applyFont="1" applyAlignment="1">
      <alignment horizontal="left" indent="2"/>
    </xf>
    <xf numFmtId="0" fontId="18" fillId="0" borderId="0" xfId="0" applyFont="1" applyAlignment="1">
      <alignment horizontal="left" indent="2"/>
    </xf>
    <xf numFmtId="3" fontId="18" fillId="0" borderId="0" xfId="0" applyNumberFormat="1" applyFont="1" applyAlignment="1">
      <alignment horizontal="left" indent="2"/>
    </xf>
    <xf numFmtId="3" fontId="56" fillId="0" borderId="0" xfId="0" applyNumberFormat="1" applyFont="1" applyAlignment="1">
      <alignment horizontal="center"/>
    </xf>
    <xf numFmtId="3" fontId="56" fillId="0" borderId="0" xfId="0" applyNumberFormat="1" applyFont="1" applyAlignment="1">
      <alignment horizontal="right"/>
    </xf>
    <xf numFmtId="0" fontId="18" fillId="0" borderId="0" xfId="0" applyFont="1"/>
    <xf numFmtId="9" fontId="33" fillId="15" borderId="0" xfId="0" applyNumberFormat="1" applyFont="1" applyFill="1" applyBorder="1"/>
    <xf numFmtId="0" fontId="57" fillId="0" borderId="0" xfId="0" applyFont="1"/>
    <xf numFmtId="167" fontId="57" fillId="0" borderId="0" xfId="0" applyNumberFormat="1" applyFont="1"/>
    <xf numFmtId="167" fontId="57" fillId="0" borderId="0" xfId="1" applyNumberFormat="1" applyFont="1"/>
    <xf numFmtId="9" fontId="0" fillId="0" borderId="0" xfId="2" applyFont="1" applyBorder="1"/>
    <xf numFmtId="10" fontId="33" fillId="15" borderId="1" xfId="0" applyNumberFormat="1" applyFont="1" applyFill="1" applyBorder="1"/>
    <xf numFmtId="0" fontId="0" fillId="0" borderId="1" xfId="0" applyFill="1" applyBorder="1"/>
    <xf numFmtId="3" fontId="43" fillId="0" borderId="1" xfId="0" applyNumberFormat="1" applyFont="1" applyFill="1" applyBorder="1"/>
    <xf numFmtId="3" fontId="59" fillId="0" borderId="0" xfId="0" applyNumberFormat="1" applyFont="1" applyFill="1" applyBorder="1"/>
    <xf numFmtId="0" fontId="58" fillId="0" borderId="0" xfId="0" applyFont="1" applyAlignment="1"/>
    <xf numFmtId="9" fontId="57" fillId="0" borderId="0" xfId="0" applyNumberFormat="1" applyFont="1"/>
    <xf numFmtId="167" fontId="5" fillId="2" borderId="0" xfId="0" applyNumberFormat="1" applyFont="1" applyFill="1" applyAlignment="1">
      <alignment horizontal="center"/>
    </xf>
    <xf numFmtId="0" fontId="32" fillId="0" borderId="0" xfId="0" applyFont="1"/>
    <xf numFmtId="4" fontId="4" fillId="0" borderId="0" xfId="0" applyNumberFormat="1" applyFont="1" applyAlignment="1">
      <alignment horizontal="right"/>
    </xf>
    <xf numFmtId="167" fontId="0" fillId="0" borderId="0" xfId="0" applyNumberFormat="1"/>
    <xf numFmtId="167" fontId="48" fillId="0" borderId="0" xfId="0" applyNumberFormat="1" applyFont="1" applyFill="1"/>
    <xf numFmtId="167" fontId="48" fillId="0" borderId="0" xfId="0" applyNumberFormat="1" applyFont="1"/>
    <xf numFmtId="167" fontId="4" fillId="14" borderId="0" xfId="1" applyNumberFormat="1" applyFont="1" applyFill="1" applyAlignment="1">
      <alignment horizontal="right"/>
    </xf>
    <xf numFmtId="167" fontId="4" fillId="14" borderId="0" xfId="0" applyNumberFormat="1" applyFont="1" applyFill="1" applyAlignment="1">
      <alignment horizontal="right"/>
    </xf>
    <xf numFmtId="3" fontId="31" fillId="0" borderId="0" xfId="0" applyNumberFormat="1" applyFont="1" applyFill="1" applyBorder="1"/>
    <xf numFmtId="2" fontId="4" fillId="3" borderId="0" xfId="3" applyNumberFormat="1" applyFont="1" applyFill="1" applyAlignment="1">
      <alignment horizontal="right" vertical="center"/>
    </xf>
    <xf numFmtId="167" fontId="5" fillId="2" borderId="0" xfId="1" applyNumberFormat="1" applyFont="1" applyFill="1" applyAlignment="1">
      <alignment horizontal="center"/>
    </xf>
    <xf numFmtId="0" fontId="19" fillId="3" borderId="0" xfId="3" applyFont="1" applyFill="1" applyAlignment="1">
      <alignment horizontal="left" vertical="center"/>
    </xf>
    <xf numFmtId="3" fontId="19" fillId="3" borderId="0" xfId="3" applyNumberFormat="1" applyFont="1" applyFill="1" applyAlignment="1">
      <alignment horizontal="right" vertical="center"/>
    </xf>
    <xf numFmtId="0" fontId="19" fillId="0" borderId="0" xfId="0" applyFont="1" applyAlignment="1"/>
    <xf numFmtId="3" fontId="18" fillId="0" borderId="0" xfId="0" applyNumberFormat="1" applyFont="1" applyAlignment="1">
      <alignment horizontal="right"/>
    </xf>
    <xf numFmtId="0" fontId="43" fillId="0" borderId="21" xfId="0" applyFont="1" applyBorder="1"/>
    <xf numFmtId="0" fontId="0" fillId="0" borderId="21" xfId="0" applyBorder="1"/>
    <xf numFmtId="0" fontId="33" fillId="0" borderId="21" xfId="0" applyFont="1" applyBorder="1"/>
    <xf numFmtId="165" fontId="43" fillId="0" borderId="21" xfId="0" applyNumberFormat="1" applyFont="1" applyBorder="1" applyAlignment="1">
      <alignment horizontal="center"/>
    </xf>
    <xf numFmtId="3" fontId="58" fillId="0" borderId="0" xfId="0" applyNumberFormat="1" applyFont="1"/>
    <xf numFmtId="3" fontId="31" fillId="0" borderId="21" xfId="0" applyNumberFormat="1" applyFont="1" applyBorder="1"/>
    <xf numFmtId="0" fontId="4" fillId="7" borderId="0" xfId="0" applyFont="1" applyFill="1"/>
    <xf numFmtId="164" fontId="4" fillId="7" borderId="0" xfId="1" applyFont="1" applyFill="1"/>
    <xf numFmtId="2" fontId="4" fillId="7" borderId="0" xfId="0" applyNumberFormat="1" applyFont="1" applyFill="1"/>
    <xf numFmtId="2" fontId="29" fillId="7" borderId="0" xfId="0" applyNumberFormat="1" applyFont="1" applyFill="1"/>
    <xf numFmtId="165" fontId="15" fillId="2" borderId="0" xfId="0" applyNumberFormat="1" applyFont="1" applyFill="1" applyAlignment="1">
      <alignment horizontal="center"/>
    </xf>
    <xf numFmtId="0" fontId="63" fillId="15" borderId="0" xfId="0" applyFont="1" applyFill="1" applyAlignment="1">
      <alignment horizontal="center" vertical="center"/>
    </xf>
    <xf numFmtId="4" fontId="62" fillId="15" borderId="0" xfId="0" applyNumberFormat="1" applyFont="1" applyFill="1"/>
    <xf numFmtId="3" fontId="62" fillId="0" borderId="0" xfId="0" applyNumberFormat="1" applyFont="1"/>
    <xf numFmtId="3" fontId="62" fillId="15" borderId="0" xfId="0" applyNumberFormat="1" applyFont="1" applyFill="1"/>
    <xf numFmtId="4" fontId="62" fillId="0" borderId="0" xfId="0" applyNumberFormat="1" applyFont="1"/>
    <xf numFmtId="167" fontId="30" fillId="0" borderId="2" xfId="0" applyNumberFormat="1" applyFont="1" applyBorder="1" applyAlignment="1">
      <alignment horizontal="center" vertical="center" wrapText="1"/>
    </xf>
    <xf numFmtId="167" fontId="30" fillId="0" borderId="2" xfId="1" applyNumberFormat="1" applyFont="1" applyFill="1" applyBorder="1" applyAlignment="1">
      <alignment horizontal="center" wrapText="1"/>
    </xf>
    <xf numFmtId="3" fontId="64" fillId="14" borderId="0" xfId="0" applyNumberFormat="1" applyFont="1" applyFill="1" applyAlignment="1">
      <alignment horizontal="right"/>
    </xf>
    <xf numFmtId="2" fontId="30" fillId="0" borderId="2" xfId="0" applyNumberFormat="1" applyFont="1" applyFill="1" applyBorder="1" applyAlignment="1">
      <alignment horizontal="center" wrapText="1"/>
    </xf>
    <xf numFmtId="2" fontId="47" fillId="0" borderId="0" xfId="0" applyNumberFormat="1" applyFont="1" applyFill="1"/>
    <xf numFmtId="169" fontId="7" fillId="14" borderId="0" xfId="0" applyNumberFormat="1" applyFont="1" applyFill="1" applyAlignment="1">
      <alignment horizontal="right"/>
    </xf>
    <xf numFmtId="0" fontId="39" fillId="11" borderId="22" xfId="0" applyFont="1" applyFill="1" applyBorder="1" applyAlignment="1">
      <alignment horizontal="center" wrapText="1"/>
    </xf>
    <xf numFmtId="14" fontId="61" fillId="14" borderId="0" xfId="0" applyNumberFormat="1" applyFont="1" applyFill="1"/>
    <xf numFmtId="0" fontId="65" fillId="0" borderId="3" xfId="0" applyFont="1" applyBorder="1" applyAlignment="1">
      <alignment horizontal="center" wrapText="1"/>
    </xf>
    <xf numFmtId="3" fontId="39" fillId="6" borderId="3" xfId="0" applyNumberFormat="1" applyFont="1" applyFill="1" applyBorder="1" applyAlignment="1">
      <alignment horizontal="right" wrapText="1"/>
    </xf>
    <xf numFmtId="3" fontId="31" fillId="0" borderId="3" xfId="0" applyNumberFormat="1" applyFont="1" applyBorder="1" applyAlignment="1">
      <alignment wrapText="1"/>
    </xf>
    <xf numFmtId="164" fontId="39" fillId="7" borderId="20" xfId="1" applyNumberFormat="1" applyFont="1" applyFill="1" applyBorder="1" applyAlignment="1">
      <alignment horizontal="right" wrapText="1"/>
    </xf>
    <xf numFmtId="170" fontId="31" fillId="0" borderId="3" xfId="0" applyNumberFormat="1" applyFont="1" applyBorder="1" applyAlignment="1">
      <alignment wrapText="1"/>
    </xf>
    <xf numFmtId="3" fontId="39" fillId="16" borderId="3" xfId="0" applyNumberFormat="1" applyFont="1" applyFill="1" applyBorder="1" applyAlignment="1">
      <alignment horizontal="right" wrapText="1"/>
    </xf>
    <xf numFmtId="3" fontId="0" fillId="6" borderId="1" xfId="0" applyNumberFormat="1" applyFill="1" applyBorder="1"/>
    <xf numFmtId="3" fontId="62" fillId="15" borderId="0" xfId="0" applyNumberFormat="1" applyFont="1" applyFill="1" applyBorder="1"/>
    <xf numFmtId="3" fontId="42" fillId="0" borderId="0" xfId="0" applyNumberFormat="1" applyFont="1" applyBorder="1"/>
    <xf numFmtId="0" fontId="42" fillId="0" borderId="0" xfId="0" applyFont="1" applyBorder="1"/>
    <xf numFmtId="4" fontId="42" fillId="0" borderId="0" xfId="0" applyNumberFormat="1" applyFont="1"/>
    <xf numFmtId="164" fontId="33" fillId="15" borderId="0" xfId="1" applyFont="1" applyFill="1" applyBorder="1"/>
    <xf numFmtId="14" fontId="63" fillId="15" borderId="0" xfId="0" applyNumberFormat="1" applyFont="1" applyFill="1" applyAlignment="1">
      <alignment horizontal="center" vertical="center"/>
    </xf>
    <xf numFmtId="0" fontId="63" fillId="15" borderId="0" xfId="0" applyFont="1" applyFill="1" applyAlignment="1">
      <alignment horizontal="center" vertical="center" wrapText="1"/>
    </xf>
    <xf numFmtId="164" fontId="0" fillId="0" borderId="0" xfId="1" applyFont="1"/>
    <xf numFmtId="170" fontId="0" fillId="0" borderId="0" xfId="0" applyNumberFormat="1"/>
    <xf numFmtId="164" fontId="30" fillId="0" borderId="2" xfId="1" applyFont="1" applyBorder="1" applyAlignment="1">
      <alignment horizontal="center" wrapText="1"/>
    </xf>
    <xf numFmtId="168" fontId="0" fillId="0" borderId="2" xfId="0" applyNumberFormat="1" applyBorder="1"/>
    <xf numFmtId="166" fontId="61" fillId="0" borderId="2" xfId="0" applyNumberFormat="1" applyFont="1" applyBorder="1" applyAlignment="1">
      <alignment horizontal="center" wrapText="1"/>
    </xf>
    <xf numFmtId="14" fontId="37" fillId="16" borderId="0" xfId="0" applyNumberFormat="1" applyFont="1" applyFill="1" applyAlignment="1">
      <alignment horizontal="center"/>
    </xf>
    <xf numFmtId="14" fontId="37" fillId="7" borderId="0" xfId="0" applyNumberFormat="1" applyFont="1" applyFill="1" applyAlignment="1">
      <alignment horizontal="center"/>
    </xf>
    <xf numFmtId="14" fontId="37" fillId="17" borderId="0" xfId="0" applyNumberFormat="1" applyFont="1" applyFill="1" applyAlignment="1">
      <alignment horizontal="center"/>
    </xf>
    <xf numFmtId="14" fontId="37" fillId="19" borderId="0" xfId="0" applyNumberFormat="1" applyFont="1" applyFill="1" applyAlignment="1">
      <alignment horizontal="center"/>
    </xf>
    <xf numFmtId="14" fontId="37" fillId="20" borderId="0" xfId="0" applyNumberFormat="1" applyFont="1" applyFill="1" applyAlignment="1">
      <alignment horizontal="center"/>
    </xf>
    <xf numFmtId="14" fontId="37" fillId="21" borderId="0" xfId="0" applyNumberFormat="1" applyFont="1" applyFill="1" applyAlignment="1">
      <alignment horizontal="center"/>
    </xf>
    <xf numFmtId="14" fontId="37" fillId="9" borderId="0" xfId="0" applyNumberFormat="1" applyFont="1" applyFill="1" applyAlignment="1">
      <alignment horizontal="center"/>
    </xf>
    <xf numFmtId="171" fontId="66" fillId="6" borderId="23" xfId="0" applyNumberFormat="1" applyFont="1" applyFill="1" applyBorder="1" applyAlignment="1">
      <alignment horizontal="center" vertical="center"/>
    </xf>
    <xf numFmtId="171" fontId="66" fillId="0" borderId="23" xfId="0" applyNumberFormat="1" applyFont="1" applyBorder="1" applyAlignment="1">
      <alignment horizontal="center" vertical="center"/>
    </xf>
    <xf numFmtId="3" fontId="31" fillId="0" borderId="0" xfId="0" applyNumberFormat="1" applyFont="1" applyBorder="1" applyAlignment="1">
      <alignment horizontal="center" wrapText="1"/>
    </xf>
    <xf numFmtId="1" fontId="31" fillId="0" borderId="0" xfId="0" applyNumberFormat="1" applyFont="1" applyBorder="1" applyAlignment="1">
      <alignment horizontal="center" wrapText="1"/>
    </xf>
    <xf numFmtId="167" fontId="31" fillId="0" borderId="0" xfId="0" applyNumberFormat="1" applyFont="1" applyBorder="1" applyAlignment="1">
      <alignment horizontal="right" wrapText="1"/>
    </xf>
    <xf numFmtId="171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9" borderId="0" xfId="0" applyFill="1"/>
    <xf numFmtId="1" fontId="0" fillId="0" borderId="0" xfId="0" applyNumberFormat="1"/>
    <xf numFmtId="167" fontId="57" fillId="23" borderId="0" xfId="0" applyNumberFormat="1" applyFont="1" applyFill="1"/>
    <xf numFmtId="0" fontId="45" fillId="23" borderId="14" xfId="0" applyFont="1" applyFill="1" applyBorder="1" applyAlignment="1">
      <alignment horizontal="center"/>
    </xf>
    <xf numFmtId="0" fontId="45" fillId="22" borderId="14" xfId="0" applyFont="1" applyFill="1" applyBorder="1" applyAlignment="1">
      <alignment horizontal="center"/>
    </xf>
    <xf numFmtId="0" fontId="45" fillId="24" borderId="14" xfId="0" applyFont="1" applyFill="1" applyBorder="1" applyAlignment="1">
      <alignment horizontal="center"/>
    </xf>
    <xf numFmtId="3" fontId="39" fillId="0" borderId="3" xfId="0" applyNumberFormat="1" applyFont="1" applyFill="1" applyBorder="1" applyAlignment="1">
      <alignment horizontal="right" wrapText="1"/>
    </xf>
    <xf numFmtId="14" fontId="61" fillId="18" borderId="0" xfId="0" applyNumberFormat="1" applyFont="1" applyFill="1"/>
    <xf numFmtId="164" fontId="39" fillId="3" borderId="3" xfId="1" applyFont="1" applyFill="1" applyBorder="1" applyAlignment="1">
      <alignment horizontal="right" wrapText="1"/>
    </xf>
    <xf numFmtId="3" fontId="0" fillId="25" borderId="0" xfId="0" applyNumberFormat="1" applyFill="1" applyBorder="1"/>
    <xf numFmtId="3" fontId="0" fillId="25" borderId="1" xfId="0" applyNumberFormat="1" applyFill="1" applyBorder="1"/>
    <xf numFmtId="164" fontId="31" fillId="0" borderId="0" xfId="1" applyFont="1" applyAlignment="1">
      <alignment horizontal="center" vertical="center"/>
    </xf>
    <xf numFmtId="3" fontId="42" fillId="25" borderId="0" xfId="0" applyNumberFormat="1" applyFont="1" applyFill="1" applyBorder="1"/>
    <xf numFmtId="172" fontId="31" fillId="15" borderId="1" xfId="2" applyNumberFormat="1" applyFont="1" applyFill="1" applyBorder="1"/>
    <xf numFmtId="0" fontId="4" fillId="25" borderId="0" xfId="0" applyFont="1" applyFill="1" applyAlignment="1">
      <alignment horizontal="left"/>
    </xf>
    <xf numFmtId="3" fontId="19" fillId="25" borderId="0" xfId="0" applyNumberFormat="1" applyFont="1" applyFill="1" applyAlignment="1">
      <alignment horizontal="right"/>
    </xf>
    <xf numFmtId="0" fontId="4" fillId="25" borderId="0" xfId="0" applyFont="1" applyFill="1" applyAlignment="1">
      <alignment horizontal="center"/>
    </xf>
    <xf numFmtId="3" fontId="4" fillId="25" borderId="0" xfId="0" applyNumberFormat="1" applyFont="1" applyFill="1"/>
    <xf numFmtId="0" fontId="4" fillId="25" borderId="0" xfId="0" applyFont="1" applyFill="1"/>
    <xf numFmtId="0" fontId="4" fillId="25" borderId="0" xfId="0" applyFont="1" applyFill="1" applyAlignment="1">
      <alignment horizontal="center" vertical="center"/>
    </xf>
    <xf numFmtId="164" fontId="63" fillId="15" borderId="0" xfId="1" applyFont="1" applyFill="1" applyAlignment="1">
      <alignment horizontal="center" vertical="center"/>
    </xf>
    <xf numFmtId="164" fontId="4" fillId="0" borderId="0" xfId="1" applyFont="1"/>
    <xf numFmtId="3" fontId="42" fillId="0" borderId="0" xfId="0" applyNumberFormat="1" applyFont="1" applyAlignment="1">
      <alignment horizontal="center" vertical="center"/>
    </xf>
    <xf numFmtId="0" fontId="54" fillId="0" borderId="8" xfId="0" applyFont="1" applyBorder="1" applyAlignment="1">
      <alignment horizontal="center" wrapText="1"/>
    </xf>
    <xf numFmtId="0" fontId="54" fillId="0" borderId="9" xfId="0" applyFont="1" applyBorder="1" applyAlignment="1">
      <alignment horizontal="center" wrapText="1"/>
    </xf>
    <xf numFmtId="0" fontId="39" fillId="11" borderId="15" xfId="0" applyFont="1" applyFill="1" applyBorder="1" applyAlignment="1">
      <alignment horizontal="center" wrapText="1"/>
    </xf>
    <xf numFmtId="0" fontId="39" fillId="11" borderId="12" xfId="0" applyFont="1" applyFill="1" applyBorder="1" applyAlignment="1">
      <alignment horizontal="center" wrapText="1"/>
    </xf>
    <xf numFmtId="3" fontId="0" fillId="26" borderId="0" xfId="0" applyNumberFormat="1" applyFill="1" applyBorder="1"/>
    <xf numFmtId="3" fontId="0" fillId="26" borderId="0" xfId="0" applyNumberFormat="1" applyFill="1"/>
    <xf numFmtId="3" fontId="43" fillId="26" borderId="0" xfId="0" applyNumberFormat="1" applyFont="1" applyFill="1"/>
    <xf numFmtId="9" fontId="31" fillId="0" borderId="0" xfId="2" applyFont="1" applyAlignment="1">
      <alignment horizontal="center" vertical="center"/>
    </xf>
    <xf numFmtId="3" fontId="33" fillId="23" borderId="0" xfId="0" applyNumberFormat="1" applyFont="1" applyFill="1"/>
  </cellXfs>
  <cellStyles count="5">
    <cellStyle name="Normal 2 8" xfId="3"/>
    <cellStyle name="Percent 2 9 2" xfId="4"/>
    <cellStyle name="Обычный" xfId="0" builtinId="0"/>
    <cellStyle name="Процентный" xfId="2" builtinId="5"/>
    <cellStyle name="Финансовый" xfId="1" builtinId="3"/>
  </cellStyles>
  <dxfs count="11">
    <dxf>
      <font>
        <b/>
        <i val="0"/>
        <color rgb="FFC00000"/>
      </font>
      <fill>
        <patternFill>
          <bgColor rgb="FFFFC5C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busrv/MTO/pbusrv/&#1058;&#1050;&#1050;/DPRM/99.%20EPC/&#1058;&#1077;&#1093;%20&#1079;&#1072;&#1082;&#1072;&#1079;&#1095;&#1080;&#1082;&#1080;/30.%20&#1053;&#1086;&#1074;&#1099;&#1077;%20&#1091;&#1095;&#1072;&#1089;&#1090;&#1082;&#1080;/19.%20&#1054;&#1090;%20&#1056;&#1046;&#1044;&#1053;%2013.04.2026/2026%2003%2004_&#1060;&#1052;_&#1060;&#1080;&#1085;&#1083;&#1103;&#1085;&#1076;&#1089;&#1082;&#1080;&#1081;_&#1046;&#1050;%20&#1057;&#1094;&#1077;&#1085;&#1072;&#1088;&#1080;&#1081;%203%20&#1089;%20&#1089;&#1086;&#1073;&#1089;&#1090;&#1074;&#1077;&#1085;&#1085;&#1099;&#1084;%20&#1091;&#1095;&#1072;&#1089;&#1090;&#1080;&#1077;&#1084;+&#1082;&#1086;&#1084;&#1084;&#1077;&#1085;&#1090;&#1072;&#1088;&#1080;&#1080;%20&#1050;&#1086;&#1095;&#1091;&#1077;&#1074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вестиции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843" id="{16B8547B-B72A-7346-9638-AC2E44A18D20}" userId="S::a843@of2041.top::618adc66-1f01-429d-960d-88c34f2d1cbe" providerId="AD"/>
</personList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7" dT="2026-04-16T13:08:57.67" personId="{16B8547B-B72A-7346-9638-AC2E44A18D20}" id="{1FBD210F-13FA-1641-B4B7-76BB1C862BF1}">
    <text>Проверить налоги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</sheetPr>
  <dimension ref="A2:K54"/>
  <sheetViews>
    <sheetView topLeftCell="A22" zoomScaleNormal="100" workbookViewId="0">
      <selection activeCell="I28" sqref="I28"/>
    </sheetView>
  </sheetViews>
  <sheetFormatPr defaultColWidth="11.5703125" defaultRowHeight="12.75" x14ac:dyDescent="0.2"/>
  <cols>
    <col min="1" max="1" width="17.5703125" customWidth="1"/>
    <col min="2" max="2" width="44.7109375" bestFit="1" customWidth="1"/>
    <col min="3" max="3" width="21.28515625" customWidth="1"/>
    <col min="5" max="5" width="15.28515625" customWidth="1"/>
    <col min="6" max="6" width="18.7109375" customWidth="1"/>
    <col min="8" max="8" width="14.28515625" customWidth="1"/>
    <col min="9" max="9" width="21" customWidth="1"/>
    <col min="10" max="10" width="15.7109375" customWidth="1"/>
  </cols>
  <sheetData>
    <row r="2" spans="1:10" ht="15" x14ac:dyDescent="0.25">
      <c r="B2" t="s">
        <v>142</v>
      </c>
      <c r="C2" s="333" t="s">
        <v>340</v>
      </c>
    </row>
    <row r="3" spans="1:10" ht="15.75" x14ac:dyDescent="0.25">
      <c r="A3" s="84" t="s">
        <v>213</v>
      </c>
      <c r="B3" s="84"/>
      <c r="C3" s="84"/>
      <c r="D3" s="84"/>
      <c r="E3" s="84"/>
      <c r="F3" s="174"/>
      <c r="G3" s="84"/>
      <c r="H3" s="84"/>
      <c r="I3" s="84"/>
      <c r="J3" s="84"/>
    </row>
    <row r="4" spans="1:10" x14ac:dyDescent="0.2">
      <c r="B4" s="140" t="s">
        <v>214</v>
      </c>
      <c r="C4" s="358" t="s">
        <v>347</v>
      </c>
    </row>
    <row r="5" spans="1:10" x14ac:dyDescent="0.2">
      <c r="B5" s="140" t="s">
        <v>289</v>
      </c>
      <c r="C5" s="358">
        <v>7.25</v>
      </c>
      <c r="D5" s="142" t="s">
        <v>317</v>
      </c>
    </row>
    <row r="6" spans="1:10" x14ac:dyDescent="0.2">
      <c r="B6" s="140" t="s">
        <v>311</v>
      </c>
      <c r="C6" s="358" t="s">
        <v>348</v>
      </c>
      <c r="G6" s="140"/>
    </row>
    <row r="7" spans="1:10" x14ac:dyDescent="0.2">
      <c r="B7" s="140" t="s">
        <v>216</v>
      </c>
      <c r="C7" s="383" t="s">
        <v>349</v>
      </c>
    </row>
    <row r="8" spans="1:10" x14ac:dyDescent="0.2">
      <c r="B8" s="140" t="s">
        <v>217</v>
      </c>
      <c r="C8" s="358" t="s">
        <v>350</v>
      </c>
    </row>
    <row r="9" spans="1:10" x14ac:dyDescent="0.2">
      <c r="B9" s="140" t="s">
        <v>218</v>
      </c>
      <c r="C9" s="192" t="s">
        <v>326</v>
      </c>
    </row>
    <row r="10" spans="1:10" ht="51" x14ac:dyDescent="0.2">
      <c r="B10" s="140" t="s">
        <v>316</v>
      </c>
      <c r="C10" s="384" t="s">
        <v>351</v>
      </c>
    </row>
    <row r="11" spans="1:10" x14ac:dyDescent="0.2">
      <c r="B11" s="140" t="s">
        <v>219</v>
      </c>
      <c r="C11" s="358" t="s">
        <v>352</v>
      </c>
    </row>
    <row r="12" spans="1:10" x14ac:dyDescent="0.2">
      <c r="B12" s="140" t="s">
        <v>220</v>
      </c>
      <c r="C12" s="358" t="s">
        <v>327</v>
      </c>
    </row>
    <row r="13" spans="1:10" x14ac:dyDescent="0.2">
      <c r="B13" s="140" t="s">
        <v>215</v>
      </c>
      <c r="C13" s="424">
        <v>5834907660</v>
      </c>
      <c r="D13" s="142" t="s">
        <v>318</v>
      </c>
      <c r="I13">
        <v>5834907660</v>
      </c>
    </row>
    <row r="14" spans="1:10" ht="15.75" x14ac:dyDescent="0.25">
      <c r="A14" s="84" t="s">
        <v>221</v>
      </c>
      <c r="B14" s="84"/>
      <c r="C14" s="84"/>
      <c r="D14" s="84"/>
      <c r="E14" s="84"/>
      <c r="F14" s="174"/>
      <c r="G14" s="84"/>
      <c r="H14" s="84"/>
      <c r="I14" s="84"/>
      <c r="J14" s="84"/>
    </row>
    <row r="15" spans="1:10" x14ac:dyDescent="0.2">
      <c r="B15" s="140" t="s">
        <v>222</v>
      </c>
      <c r="C15" s="359">
        <v>96572</v>
      </c>
      <c r="I15" s="385">
        <v>96572</v>
      </c>
    </row>
    <row r="16" spans="1:10" x14ac:dyDescent="0.2">
      <c r="B16" s="140" t="s">
        <v>224</v>
      </c>
      <c r="C16" s="191"/>
      <c r="H16" s="142" t="s">
        <v>314</v>
      </c>
      <c r="I16" s="385"/>
    </row>
    <row r="17" spans="2:10" x14ac:dyDescent="0.2">
      <c r="B17" s="140" t="s">
        <v>280</v>
      </c>
      <c r="C17" s="191">
        <v>3</v>
      </c>
      <c r="I17" s="385"/>
    </row>
    <row r="18" spans="2:10" x14ac:dyDescent="0.2">
      <c r="B18" s="140" t="s">
        <v>225</v>
      </c>
      <c r="C18" s="191"/>
      <c r="I18" s="385"/>
    </row>
    <row r="19" spans="2:10" x14ac:dyDescent="0.2">
      <c r="B19" s="140" t="s">
        <v>353</v>
      </c>
      <c r="C19" s="359">
        <v>221967</v>
      </c>
      <c r="E19" s="142" t="s">
        <v>312</v>
      </c>
      <c r="I19" s="385"/>
    </row>
    <row r="20" spans="2:10" x14ac:dyDescent="0.2">
      <c r="B20" s="140" t="s">
        <v>226</v>
      </c>
      <c r="C20" s="359">
        <f>210038+420</f>
        <v>210458</v>
      </c>
      <c r="D20" s="141">
        <f>C20/C19</f>
        <v>0.94814995021782522</v>
      </c>
      <c r="E20" s="142" t="s">
        <v>322</v>
      </c>
      <c r="J20" s="386"/>
    </row>
    <row r="21" spans="2:10" x14ac:dyDescent="0.2">
      <c r="B21" s="140" t="s">
        <v>227</v>
      </c>
      <c r="C21" s="359">
        <v>19009</v>
      </c>
      <c r="D21" s="141">
        <f>C21/C19</f>
        <v>8.5638856226375987E-2</v>
      </c>
      <c r="E21" s="142" t="s">
        <v>319</v>
      </c>
    </row>
    <row r="22" spans="2:10" x14ac:dyDescent="0.2">
      <c r="B22" s="140" t="s">
        <v>320</v>
      </c>
      <c r="C22" s="359">
        <v>143560</v>
      </c>
      <c r="D22" s="141">
        <f>C22/C20</f>
        <v>0.68213135162360183</v>
      </c>
    </row>
    <row r="23" spans="2:10" x14ac:dyDescent="0.2">
      <c r="B23" s="140" t="s">
        <v>228</v>
      </c>
      <c r="C23" s="144">
        <f>10322</f>
        <v>10322</v>
      </c>
      <c r="D23" s="193">
        <v>0.8</v>
      </c>
      <c r="E23" s="143"/>
    </row>
    <row r="24" spans="2:10" x14ac:dyDescent="0.2">
      <c r="B24" s="140" t="s">
        <v>321</v>
      </c>
      <c r="C24" s="191"/>
      <c r="E24" s="142" t="s">
        <v>313</v>
      </c>
    </row>
    <row r="25" spans="2:10" x14ac:dyDescent="0.2">
      <c r="B25" s="140" t="s">
        <v>229</v>
      </c>
      <c r="C25" s="191"/>
      <c r="E25" s="142" t="s">
        <v>313</v>
      </c>
    </row>
    <row r="26" spans="2:10" x14ac:dyDescent="0.2">
      <c r="B26" s="140" t="s">
        <v>230</v>
      </c>
      <c r="C26" s="362">
        <f>51775+7719</f>
        <v>59494</v>
      </c>
      <c r="D26" s="141">
        <f>C26/C19</f>
        <v>0.26803083341217387</v>
      </c>
    </row>
    <row r="27" spans="2:10" x14ac:dyDescent="0.2">
      <c r="B27" s="140" t="s">
        <v>231</v>
      </c>
      <c r="C27" s="360">
        <v>862</v>
      </c>
      <c r="D27" s="146">
        <f>I44</f>
        <v>1.2</v>
      </c>
      <c r="E27" t="s">
        <v>237</v>
      </c>
    </row>
    <row r="28" spans="2:10" x14ac:dyDescent="0.2">
      <c r="B28" s="140" t="s">
        <v>151</v>
      </c>
      <c r="C28" s="361">
        <v>2401</v>
      </c>
      <c r="D28" s="141">
        <f>C28/C27</f>
        <v>2.7853828306264501</v>
      </c>
      <c r="E28" t="s">
        <v>238</v>
      </c>
      <c r="F28" s="142" t="s">
        <v>324</v>
      </c>
    </row>
    <row r="29" spans="2:10" x14ac:dyDescent="0.2">
      <c r="B29" s="140" t="s">
        <v>232</v>
      </c>
      <c r="C29" s="195">
        <f>C15*D29</f>
        <v>28971.599999999999</v>
      </c>
      <c r="D29" s="196">
        <v>0.3</v>
      </c>
      <c r="E29" s="142" t="s">
        <v>323</v>
      </c>
    </row>
    <row r="30" spans="2:10" x14ac:dyDescent="0.2">
      <c r="B30" s="140" t="s">
        <v>223</v>
      </c>
      <c r="C30" s="143">
        <f>$C$29*D30</f>
        <v>2897.16</v>
      </c>
      <c r="D30" s="193">
        <v>0.1</v>
      </c>
      <c r="E30" s="142" t="s">
        <v>325</v>
      </c>
    </row>
    <row r="31" spans="2:10" x14ac:dyDescent="0.2">
      <c r="B31" s="140" t="s">
        <v>233</v>
      </c>
      <c r="C31" s="143">
        <f>$C$29*D31</f>
        <v>2897.16</v>
      </c>
      <c r="D31" s="193">
        <v>0.1</v>
      </c>
      <c r="E31" s="142" t="s">
        <v>325</v>
      </c>
    </row>
    <row r="32" spans="2:10" x14ac:dyDescent="0.2">
      <c r="B32" s="140" t="s">
        <v>234</v>
      </c>
      <c r="C32" s="143">
        <f>$C$29*D32</f>
        <v>2897.1599999999994</v>
      </c>
      <c r="D32" s="141">
        <f>D29-D30-D31</f>
        <v>9.9999999999999978E-2</v>
      </c>
      <c r="E32" s="142" t="s">
        <v>325</v>
      </c>
    </row>
    <row r="33" spans="1:11" x14ac:dyDescent="0.2">
      <c r="B33" s="140" t="s">
        <v>235</v>
      </c>
      <c r="C33" s="143">
        <f>C15-C29</f>
        <v>67600.399999999994</v>
      </c>
      <c r="D33" s="141">
        <f>C33/C15</f>
        <v>0.7</v>
      </c>
    </row>
    <row r="34" spans="1:11" x14ac:dyDescent="0.2">
      <c r="B34" s="140" t="s">
        <v>239</v>
      </c>
      <c r="C34" s="143">
        <f>E49</f>
        <v>35294.590000000004</v>
      </c>
    </row>
    <row r="35" spans="1:11" x14ac:dyDescent="0.2">
      <c r="B35" s="140" t="s">
        <v>373</v>
      </c>
      <c r="C35" s="415">
        <v>149281</v>
      </c>
    </row>
    <row r="36" spans="1:11" x14ac:dyDescent="0.2">
      <c r="C36" s="143"/>
    </row>
    <row r="37" spans="1:11" x14ac:dyDescent="0.2">
      <c r="C37" s="143"/>
    </row>
    <row r="38" spans="1:11" ht="15.75" x14ac:dyDescent="0.25">
      <c r="A38" s="84"/>
      <c r="B38" s="84" t="s">
        <v>167</v>
      </c>
      <c r="C38" s="84"/>
      <c r="D38" s="84"/>
      <c r="E38" s="332">
        <f>E44+E51</f>
        <v>189176.978</v>
      </c>
      <c r="F38" s="174">
        <f>F44+F51</f>
        <v>3392.0250000000001</v>
      </c>
      <c r="G38" s="84"/>
      <c r="H38" s="84"/>
      <c r="I38" s="84"/>
      <c r="J38" s="84"/>
    </row>
    <row r="39" spans="1:11" x14ac:dyDescent="0.2">
      <c r="A39" s="147"/>
      <c r="B39" s="147"/>
      <c r="C39" s="147"/>
      <c r="D39" s="147"/>
      <c r="E39" s="148"/>
      <c r="F39" s="147"/>
      <c r="G39" s="147"/>
      <c r="H39" s="147"/>
      <c r="I39" s="148"/>
      <c r="J39" s="148"/>
    </row>
    <row r="40" spans="1:11" ht="25.5" x14ac:dyDescent="0.2">
      <c r="A40" s="150"/>
      <c r="B40" s="151" t="s">
        <v>168</v>
      </c>
      <c r="C40" s="198"/>
      <c r="D40" s="152" t="s">
        <v>171</v>
      </c>
      <c r="E40" s="152" t="s">
        <v>169</v>
      </c>
      <c r="F40" s="152" t="s">
        <v>170</v>
      </c>
      <c r="G40" s="152" t="s">
        <v>172</v>
      </c>
      <c r="H40" s="152" t="s">
        <v>173</v>
      </c>
      <c r="I40" s="153" t="s">
        <v>236</v>
      </c>
      <c r="J40" s="153" t="s">
        <v>91</v>
      </c>
    </row>
    <row r="41" spans="1:11" x14ac:dyDescent="0.2">
      <c r="A41" s="150"/>
      <c r="B41" s="154" t="s">
        <v>199</v>
      </c>
      <c r="C41" s="155">
        <v>0.4</v>
      </c>
      <c r="D41" s="194">
        <v>35.107999999999997</v>
      </c>
      <c r="E41" s="387">
        <f>D41*F41</f>
        <v>33738.788</v>
      </c>
      <c r="F41" s="157">
        <v>961</v>
      </c>
      <c r="G41" s="200">
        <v>497703</v>
      </c>
      <c r="H41" s="158">
        <f>G41*D41</f>
        <v>17473356.923999999</v>
      </c>
      <c r="I41" s="105">
        <v>0.8</v>
      </c>
      <c r="J41" s="159">
        <f>I41*F41</f>
        <v>768.80000000000007</v>
      </c>
    </row>
    <row r="42" spans="1:11" x14ac:dyDescent="0.2">
      <c r="A42" s="150"/>
      <c r="B42" s="154" t="s">
        <v>200</v>
      </c>
      <c r="C42" s="155">
        <v>0.3</v>
      </c>
      <c r="D42" s="194">
        <v>60.53</v>
      </c>
      <c r="E42" s="387">
        <f>F42*D42</f>
        <v>43581.599999999999</v>
      </c>
      <c r="F42" s="157">
        <v>720</v>
      </c>
      <c r="G42" s="200">
        <v>497703</v>
      </c>
      <c r="H42" s="158">
        <f>G42*D42</f>
        <v>30125962.59</v>
      </c>
      <c r="I42" s="105">
        <v>1.2</v>
      </c>
      <c r="J42" s="159">
        <f t="shared" ref="J42:J43" si="0">I42*F42</f>
        <v>864</v>
      </c>
    </row>
    <row r="43" spans="1:11" x14ac:dyDescent="0.2">
      <c r="A43" s="150"/>
      <c r="B43" s="154" t="s">
        <v>201</v>
      </c>
      <c r="C43" s="155">
        <v>0.3</v>
      </c>
      <c r="D43" s="194">
        <v>92</v>
      </c>
      <c r="E43" s="387">
        <f>F43*D43</f>
        <v>66240</v>
      </c>
      <c r="F43" s="157">
        <v>720</v>
      </c>
      <c r="G43" s="200">
        <v>497703</v>
      </c>
      <c r="H43" s="158">
        <f>G43*D43</f>
        <v>45788676</v>
      </c>
      <c r="I43" s="105">
        <v>1.6</v>
      </c>
      <c r="J43" s="159">
        <f t="shared" si="0"/>
        <v>1152</v>
      </c>
    </row>
    <row r="44" spans="1:11" x14ac:dyDescent="0.2">
      <c r="A44" s="150"/>
      <c r="B44" s="150"/>
      <c r="C44" s="199"/>
      <c r="D44" s="388">
        <f>E44/F44</f>
        <v>59.791915035401921</v>
      </c>
      <c r="E44" s="160">
        <f>SUM(E41:E43)</f>
        <v>143560.38800000001</v>
      </c>
      <c r="F44" s="161">
        <v>2401</v>
      </c>
      <c r="G44" s="162">
        <f>AVERAGE(G41:G43)</f>
        <v>497703</v>
      </c>
      <c r="H44" s="162">
        <f>AVERAGE(H41:H43)</f>
        <v>31129331.838</v>
      </c>
      <c r="I44" s="163">
        <f>AVERAGE(I41:I43)</f>
        <v>1.2</v>
      </c>
      <c r="J44" s="162">
        <v>862</v>
      </c>
      <c r="K44" t="s">
        <v>371</v>
      </c>
    </row>
    <row r="45" spans="1:11" x14ac:dyDescent="0.2">
      <c r="A45" s="147"/>
      <c r="B45" s="147"/>
      <c r="C45" s="147"/>
      <c r="D45" s="147"/>
      <c r="E45" s="149"/>
      <c r="F45" s="147"/>
      <c r="G45" s="147"/>
      <c r="H45" s="147"/>
      <c r="I45" s="148"/>
      <c r="J45" s="148"/>
    </row>
    <row r="46" spans="1:11" x14ac:dyDescent="0.2">
      <c r="A46" s="147"/>
      <c r="B46" s="147"/>
      <c r="C46" s="147"/>
      <c r="D46" s="147"/>
      <c r="E46" s="147"/>
      <c r="F46" s="147"/>
      <c r="G46" s="147"/>
      <c r="H46" s="147"/>
      <c r="I46" s="148"/>
      <c r="J46" s="148"/>
    </row>
    <row r="47" spans="1:11" ht="25.5" x14ac:dyDescent="0.2">
      <c r="A47" s="150"/>
      <c r="B47" s="151" t="s">
        <v>174</v>
      </c>
      <c r="C47" s="151"/>
      <c r="D47" s="152" t="s">
        <v>175</v>
      </c>
      <c r="E47" s="152" t="s">
        <v>169</v>
      </c>
      <c r="F47" s="152" t="s">
        <v>170</v>
      </c>
      <c r="G47" s="152" t="s">
        <v>172</v>
      </c>
      <c r="H47" s="152" t="s">
        <v>173</v>
      </c>
      <c r="I47" s="104"/>
      <c r="J47" s="104"/>
    </row>
    <row r="48" spans="1:11" x14ac:dyDescent="0.2">
      <c r="A48" s="150"/>
      <c r="B48" s="154" t="s">
        <v>89</v>
      </c>
      <c r="C48" s="197">
        <v>10332</v>
      </c>
      <c r="D48" s="156">
        <v>80</v>
      </c>
      <c r="E48" s="164">
        <f>C23</f>
        <v>10322</v>
      </c>
      <c r="F48" s="157">
        <f>E48/D48</f>
        <v>129.02500000000001</v>
      </c>
      <c r="G48" s="200">
        <v>600000</v>
      </c>
      <c r="H48" s="158">
        <f>G48*D48</f>
        <v>48000000</v>
      </c>
      <c r="I48" s="104"/>
      <c r="J48" s="104"/>
    </row>
    <row r="49" spans="1:10" x14ac:dyDescent="0.2">
      <c r="A49" s="150"/>
      <c r="B49" s="154" t="s">
        <v>91</v>
      </c>
      <c r="C49" s="197">
        <v>5200</v>
      </c>
      <c r="D49" s="389">
        <v>40.945</v>
      </c>
      <c r="E49" s="164">
        <f>D49*F49</f>
        <v>35294.590000000004</v>
      </c>
      <c r="F49" s="363">
        <f>J44</f>
        <v>862</v>
      </c>
      <c r="G49" s="200">
        <v>270000</v>
      </c>
      <c r="H49" s="158">
        <f>G49*D49</f>
        <v>11055150</v>
      </c>
      <c r="I49" s="104"/>
      <c r="J49" s="104"/>
    </row>
    <row r="50" spans="1:10" x14ac:dyDescent="0.2">
      <c r="A50" s="150"/>
      <c r="B50" s="154" t="s">
        <v>290</v>
      </c>
      <c r="C50" s="197"/>
      <c r="D50" s="156">
        <v>0</v>
      </c>
      <c r="E50" s="156">
        <v>0</v>
      </c>
      <c r="F50" s="156">
        <v>0</v>
      </c>
      <c r="G50" s="201"/>
      <c r="H50" s="158">
        <f>G50*D50</f>
        <v>0</v>
      </c>
      <c r="I50" s="104"/>
      <c r="J50" s="104"/>
    </row>
    <row r="51" spans="1:10" x14ac:dyDescent="0.2">
      <c r="A51" s="150"/>
      <c r="B51" s="150"/>
      <c r="C51" s="150"/>
      <c r="D51" s="150"/>
      <c r="E51" s="165">
        <f>SUM(E48:E50)</f>
        <v>45616.590000000004</v>
      </c>
      <c r="F51" s="161">
        <f>SUM(F48:F50)</f>
        <v>991.02499999999998</v>
      </c>
      <c r="G51" s="162">
        <f>AVERAGE(G48:G50)</f>
        <v>435000</v>
      </c>
      <c r="H51" s="150"/>
      <c r="I51" s="104"/>
      <c r="J51" s="104"/>
    </row>
    <row r="52" spans="1:10" x14ac:dyDescent="0.2">
      <c r="J52" s="148"/>
    </row>
    <row r="53" spans="1:10" x14ac:dyDescent="0.2">
      <c r="J53" s="148"/>
    </row>
    <row r="54" spans="1:10" ht="15.75" x14ac:dyDescent="0.25">
      <c r="A54" s="84" t="s">
        <v>279</v>
      </c>
      <c r="B54" s="84"/>
      <c r="C54" s="84"/>
      <c r="D54" s="84"/>
      <c r="E54" s="84"/>
      <c r="F54" s="174"/>
      <c r="G54" s="84"/>
      <c r="H54" s="84"/>
      <c r="I54" s="84"/>
      <c r="J54" s="84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M86"/>
  <sheetViews>
    <sheetView tabSelected="1" topLeftCell="A40" zoomScaleNormal="100" workbookViewId="0">
      <selection activeCell="C77" sqref="C77"/>
    </sheetView>
  </sheetViews>
  <sheetFormatPr defaultRowHeight="12.75" x14ac:dyDescent="0.2"/>
  <cols>
    <col min="1" max="1" width="11.42578125" bestFit="1" customWidth="1"/>
    <col min="3" max="3" width="52.85546875" bestFit="1" customWidth="1"/>
    <col min="4" max="4" width="20.28515625" style="237" customWidth="1"/>
    <col min="5" max="5" width="24.7109375" customWidth="1"/>
    <col min="6" max="6" width="38.42578125" bestFit="1" customWidth="1"/>
    <col min="7" max="7" width="20.28515625" customWidth="1"/>
    <col min="8" max="8" width="11" bestFit="1" customWidth="1"/>
    <col min="10" max="10" width="13.85546875" bestFit="1" customWidth="1"/>
    <col min="11" max="11" width="19.140625" customWidth="1"/>
    <col min="13" max="13" width="17.7109375" bestFit="1" customWidth="1"/>
  </cols>
  <sheetData>
    <row r="3" spans="1:8" ht="15.75" x14ac:dyDescent="0.25">
      <c r="A3" s="84" t="s">
        <v>275</v>
      </c>
      <c r="B3" s="84"/>
      <c r="C3" s="84"/>
      <c r="D3" s="84" t="s">
        <v>276</v>
      </c>
      <c r="E3" s="84" t="s">
        <v>277</v>
      </c>
      <c r="F3" s="84" t="s">
        <v>278</v>
      </c>
      <c r="G3" s="84" t="s">
        <v>288</v>
      </c>
    </row>
    <row r="5" spans="1:8" x14ac:dyDescent="0.2">
      <c r="C5" t="str">
        <f>'План продаж'!C27</f>
        <v xml:space="preserve">Квартиры Тип 1 </v>
      </c>
      <c r="D5" s="145">
        <f>'План продаж'!D31</f>
        <v>573799.03196311428</v>
      </c>
      <c r="E5" s="106">
        <f>'План продаж'!D29</f>
        <v>33738.788000000008</v>
      </c>
      <c r="F5" s="106">
        <f>'План продаж'!D27</f>
        <v>22164066945.27095</v>
      </c>
      <c r="G5" s="106">
        <f>'План продаж'!I8</f>
        <v>17473356.923999999</v>
      </c>
    </row>
    <row r="6" spans="1:8" x14ac:dyDescent="0.2">
      <c r="C6" t="str">
        <f>'План продаж'!C32</f>
        <v xml:space="preserve">Квартиры Тип 2 </v>
      </c>
      <c r="D6" s="145">
        <f>'План продаж'!D36</f>
        <v>573799.03196311428</v>
      </c>
      <c r="E6" s="106">
        <f>'План продаж'!D34</f>
        <v>36620.650000000009</v>
      </c>
      <c r="F6" s="106">
        <f>'План продаж'!D32</f>
        <v>28633525764.999435</v>
      </c>
      <c r="G6" s="106">
        <f>'План продаж'!I9</f>
        <v>30125962.59</v>
      </c>
    </row>
    <row r="7" spans="1:8" x14ac:dyDescent="0.2">
      <c r="C7" t="str">
        <f>'План продаж'!C37</f>
        <v xml:space="preserve">Квартиры Тип 3 </v>
      </c>
      <c r="D7" s="145">
        <f>'План продаж'!D41</f>
        <v>573799.03196311428</v>
      </c>
      <c r="E7" s="106">
        <f>'План продаж'!D39</f>
        <v>35604</v>
      </c>
      <c r="F7" s="106">
        <f>'План продаж'!D37</f>
        <v>43534978899.872215</v>
      </c>
      <c r="G7" s="106">
        <f>'План продаж'!I10</f>
        <v>45788676</v>
      </c>
    </row>
    <row r="8" spans="1:8" x14ac:dyDescent="0.2">
      <c r="A8" s="148"/>
      <c r="B8" s="148"/>
      <c r="C8" t="str">
        <f>'План продаж'!C42</f>
        <v>ПСН</v>
      </c>
      <c r="D8" s="145">
        <f>'План продаж'!D46</f>
        <v>691736.67664825916</v>
      </c>
      <c r="E8" s="219">
        <f>'План продаж'!D44</f>
        <v>10888.608000000004</v>
      </c>
      <c r="F8" s="219">
        <f>'План продаж'!D42</f>
        <v>10206468265.885023</v>
      </c>
      <c r="G8" s="106">
        <f>'План продаж'!I15</f>
        <v>48000000</v>
      </c>
    </row>
    <row r="9" spans="1:8" x14ac:dyDescent="0.2">
      <c r="A9" s="148"/>
      <c r="B9" s="148"/>
      <c r="C9" t="str">
        <f>'План продаж'!C47</f>
        <v>Машиноместа</v>
      </c>
      <c r="D9" s="271">
        <f>'План продаж'!I16</f>
        <v>11055150</v>
      </c>
      <c r="E9" s="219">
        <f>'План продаж'!D48</f>
        <v>862</v>
      </c>
      <c r="F9" s="219">
        <f>'План продаж'!D47</f>
        <v>13591248148.476246</v>
      </c>
      <c r="G9" s="106">
        <f>'План продаж'!I16</f>
        <v>11055150</v>
      </c>
    </row>
    <row r="10" spans="1:8" x14ac:dyDescent="0.2">
      <c r="A10" s="148"/>
      <c r="B10" s="148"/>
      <c r="C10" t="str">
        <f>'План продаж'!C52</f>
        <v>Прочие помещения</v>
      </c>
      <c r="D10" s="254">
        <f>'План продаж'!D56</f>
        <v>0</v>
      </c>
      <c r="E10" s="219">
        <f>'План продаж'!D54</f>
        <v>0</v>
      </c>
      <c r="F10" s="219">
        <f>'План продаж'!D52</f>
        <v>0</v>
      </c>
      <c r="G10" s="106">
        <f>'План продаж'!I17</f>
        <v>0</v>
      </c>
    </row>
    <row r="11" spans="1:8" x14ac:dyDescent="0.2">
      <c r="A11" s="168"/>
      <c r="B11" s="168"/>
      <c r="C11" s="168"/>
      <c r="D11" s="269"/>
      <c r="E11" s="168"/>
      <c r="F11" s="168"/>
      <c r="G11" s="168"/>
    </row>
    <row r="12" spans="1:8" x14ac:dyDescent="0.2">
      <c r="A12" s="148"/>
      <c r="B12" s="218"/>
      <c r="C12" s="218" t="s">
        <v>263</v>
      </c>
      <c r="D12" s="270"/>
      <c r="E12" s="224"/>
      <c r="F12" s="224">
        <f>SUM(F5:F11)</f>
        <v>118130288024.50388</v>
      </c>
      <c r="G12" s="219"/>
      <c r="H12" s="148"/>
    </row>
    <row r="15" spans="1:8" ht="15.75" x14ac:dyDescent="0.25">
      <c r="A15" s="84" t="s">
        <v>253</v>
      </c>
      <c r="B15" s="84"/>
      <c r="C15" s="84"/>
      <c r="D15" s="84" t="s">
        <v>254</v>
      </c>
      <c r="E15" s="84" t="s">
        <v>255</v>
      </c>
      <c r="F15" s="84"/>
      <c r="G15" s="84"/>
    </row>
    <row r="16" spans="1:8" x14ac:dyDescent="0.2">
      <c r="A16" s="148"/>
      <c r="B16" s="218" t="s">
        <v>256</v>
      </c>
      <c r="C16" s="148"/>
      <c r="D16" s="271"/>
      <c r="E16" s="219"/>
      <c r="F16" s="220">
        <f>SUM(F17:F19)</f>
        <v>1330355898</v>
      </c>
      <c r="G16" s="221">
        <f t="shared" ref="G16:G52" si="0">F16/$F$59</f>
        <v>1.3300587131588522E-2</v>
      </c>
      <c r="H16" s="148"/>
    </row>
    <row r="17" spans="1:9" x14ac:dyDescent="0.2">
      <c r="A17" s="148"/>
      <c r="B17" s="218"/>
      <c r="C17" s="148" t="str">
        <f>'CF1 '!A21</f>
        <v>Покупка и формирование актива, агентские , diudill</v>
      </c>
      <c r="D17" s="235">
        <f>F17/E17</f>
        <v>13775.7931698629</v>
      </c>
      <c r="E17" s="219">
        <f>ТЭПы!C15</f>
        <v>96572</v>
      </c>
      <c r="F17" s="413">
        <f>2440190898-F22</f>
        <v>1330355898</v>
      </c>
      <c r="G17" s="221">
        <f t="shared" si="0"/>
        <v>1.3300587131588522E-2</v>
      </c>
      <c r="H17" s="148"/>
    </row>
    <row r="18" spans="1:9" x14ac:dyDescent="0.2">
      <c r="A18" s="148"/>
      <c r="B18" s="218"/>
      <c r="C18" s="148" t="s">
        <v>257</v>
      </c>
      <c r="D18" s="225">
        <f>F18/E18</f>
        <v>0</v>
      </c>
      <c r="E18" s="219">
        <f>ТЭПы!C15</f>
        <v>96572</v>
      </c>
      <c r="F18" s="413">
        <v>0</v>
      </c>
      <c r="G18" s="221">
        <f t="shared" si="0"/>
        <v>0</v>
      </c>
      <c r="H18" s="148"/>
    </row>
    <row r="19" spans="1:9" x14ac:dyDescent="0.2">
      <c r="A19" s="148"/>
      <c r="B19" s="167"/>
      <c r="C19" s="168" t="s">
        <v>258</v>
      </c>
      <c r="D19" s="228">
        <v>0.02</v>
      </c>
      <c r="E19" s="169">
        <f>F17</f>
        <v>1330355898</v>
      </c>
      <c r="F19" s="414">
        <v>0</v>
      </c>
      <c r="G19" s="229">
        <f t="shared" si="0"/>
        <v>0</v>
      </c>
      <c r="H19" s="148"/>
    </row>
    <row r="20" spans="1:9" x14ac:dyDescent="0.2">
      <c r="A20" s="148"/>
      <c r="B20" s="218" t="str">
        <f>'CF1 '!A23</f>
        <v>Земельно-имущественные отношения</v>
      </c>
      <c r="C20" s="148"/>
      <c r="D20" s="321"/>
      <c r="E20" s="219"/>
      <c r="F20" s="340">
        <f>SUM(F21:F22)</f>
        <v>1934959525.273</v>
      </c>
      <c r="G20" s="221">
        <f t="shared" si="0"/>
        <v>1.9345272795558876E-2</v>
      </c>
      <c r="H20" s="148"/>
    </row>
    <row r="21" spans="1:9" x14ac:dyDescent="0.2">
      <c r="A21" s="148"/>
      <c r="B21" s="218"/>
      <c r="C21" s="148" t="str">
        <f>'CF1 '!A24</f>
        <v>Аренда/налог ЗУ</v>
      </c>
      <c r="D21" s="233">
        <f>F21/E21</f>
        <v>8544.1383141386741</v>
      </c>
      <c r="E21" s="219">
        <f>ТЭПы!C15</f>
        <v>96572</v>
      </c>
      <c r="F21" s="413">
        <v>825124525.273</v>
      </c>
      <c r="G21" s="221">
        <f t="shared" si="0"/>
        <v>8.249402027910694E-3</v>
      </c>
      <c r="H21" s="148"/>
    </row>
    <row r="22" spans="1:9" x14ac:dyDescent="0.2">
      <c r="A22" s="148"/>
      <c r="B22" s="167"/>
      <c r="C22" s="168" t="str">
        <f>'CF1 '!A25</f>
        <v>Плата за изменение ВРИ</v>
      </c>
      <c r="D22" s="233">
        <v>5000</v>
      </c>
      <c r="E22" s="377">
        <f>ТЭПы!C19</f>
        <v>221967</v>
      </c>
      <c r="F22" s="414">
        <f t="shared" ref="F22" si="1">E22*D22</f>
        <v>1109835000</v>
      </c>
      <c r="G22" s="229">
        <f t="shared" si="0"/>
        <v>1.1095870767648182E-2</v>
      </c>
      <c r="H22" s="148" t="s">
        <v>341</v>
      </c>
    </row>
    <row r="23" spans="1:9" x14ac:dyDescent="0.2">
      <c r="A23" s="148"/>
      <c r="B23" s="218" t="s">
        <v>259</v>
      </c>
      <c r="C23" s="148"/>
      <c r="D23" s="225"/>
      <c r="E23" s="219"/>
      <c r="F23" s="220">
        <f>SUM(F24:F29)</f>
        <v>2013174659.6600001</v>
      </c>
      <c r="G23" s="221">
        <f t="shared" si="0"/>
        <v>2.012724941661731E-2</v>
      </c>
      <c r="H23" s="148"/>
    </row>
    <row r="24" spans="1:9" x14ac:dyDescent="0.2">
      <c r="A24" s="148"/>
      <c r="B24" s="223"/>
      <c r="C24" s="148" t="str">
        <f>'CF1 '!A28</f>
        <v>Компенсация городу</v>
      </c>
      <c r="D24" s="378">
        <f>F24/E24</f>
        <v>8440.6855973633628</v>
      </c>
      <c r="E24" s="219">
        <f>ТЭПы!C35</f>
        <v>149281</v>
      </c>
      <c r="F24" s="413">
        <v>1260033986.6600001</v>
      </c>
      <c r="G24" s="221">
        <f t="shared" si="0"/>
        <v>1.259752510852865E-2</v>
      </c>
      <c r="H24" s="148" t="s">
        <v>343</v>
      </c>
    </row>
    <row r="25" spans="1:9" x14ac:dyDescent="0.2">
      <c r="A25" s="148"/>
      <c r="B25" s="218"/>
      <c r="C25" s="148" t="str">
        <f>'CF1 '!A30</f>
        <v>Получение ИРД (ППТ,ГПЗУ)</v>
      </c>
      <c r="D25" s="225"/>
      <c r="E25" s="219"/>
      <c r="F25" s="222">
        <f t="shared" ref="F25:F27" si="2">D25*E25</f>
        <v>0</v>
      </c>
      <c r="G25" s="221">
        <f t="shared" si="0"/>
        <v>0</v>
      </c>
      <c r="H25" s="148"/>
    </row>
    <row r="26" spans="1:9" x14ac:dyDescent="0.2">
      <c r="A26" s="148"/>
      <c r="B26" s="218"/>
      <c r="C26" s="148" t="str">
        <f>'CF1 '!A32</f>
        <v>Проектирование объектов стадия П</v>
      </c>
      <c r="D26" s="225">
        <f>F26/E26</f>
        <v>5031.723213268936</v>
      </c>
      <c r="E26" s="219">
        <f>ТЭПы!C35</f>
        <v>149281</v>
      </c>
      <c r="F26" s="222">
        <v>751140673</v>
      </c>
      <c r="G26" s="221">
        <f t="shared" si="0"/>
        <v>7.5097287758381041E-3</v>
      </c>
      <c r="H26" s="380" t="s">
        <v>342</v>
      </c>
      <c r="I26" s="142"/>
    </row>
    <row r="27" spans="1:9" x14ac:dyDescent="0.2">
      <c r="A27" s="148"/>
      <c r="B27" s="218"/>
      <c r="C27" s="148" t="str">
        <f>'CF1 '!A34</f>
        <v>Проектирование объектов стадия РД</v>
      </c>
      <c r="D27" s="225"/>
      <c r="F27" s="222">
        <f t="shared" si="2"/>
        <v>0</v>
      </c>
      <c r="G27" s="221">
        <f t="shared" si="0"/>
        <v>0</v>
      </c>
      <c r="H27" s="380"/>
      <c r="I27" s="142"/>
    </row>
    <row r="28" spans="1:9" x14ac:dyDescent="0.2">
      <c r="A28" s="148"/>
      <c r="B28" s="223"/>
      <c r="C28" s="148" t="str">
        <f>'CF1 '!A36</f>
        <v>Инженерные изыскания (опер деятельность)</v>
      </c>
      <c r="D28" s="225"/>
      <c r="E28" s="148"/>
      <c r="F28" s="222">
        <f>D28*E28</f>
        <v>0</v>
      </c>
      <c r="G28" s="221">
        <f t="shared" si="0"/>
        <v>0</v>
      </c>
      <c r="H28" s="380"/>
      <c r="I28" s="142"/>
    </row>
    <row r="29" spans="1:9" x14ac:dyDescent="0.2">
      <c r="B29" s="168"/>
      <c r="C29" s="168" t="str">
        <f>'CF1 '!A38</f>
        <v>Предпроектные проработки</v>
      </c>
      <c r="D29" s="233">
        <v>2000000</v>
      </c>
      <c r="E29" s="168">
        <v>1</v>
      </c>
      <c r="F29" s="173">
        <f>D29*E29</f>
        <v>2000000</v>
      </c>
      <c r="G29" s="229">
        <f t="shared" si="0"/>
        <v>1.9995532250556492E-5</v>
      </c>
      <c r="H29" s="380" t="s">
        <v>342</v>
      </c>
      <c r="I29" s="142"/>
    </row>
    <row r="30" spans="1:9" x14ac:dyDescent="0.2">
      <c r="A30" s="148"/>
      <c r="B30" s="218" t="s">
        <v>3</v>
      </c>
      <c r="C30" s="148"/>
      <c r="D30" s="225"/>
      <c r="E30" s="219"/>
      <c r="F30" s="220">
        <f>SUM(F31:F49)</f>
        <v>65294813568.732895</v>
      </c>
      <c r="G30" s="221">
        <f t="shared" si="0"/>
        <v>0.65280227525383616</v>
      </c>
      <c r="H30" s="380"/>
      <c r="I30" s="142"/>
    </row>
    <row r="31" spans="1:9" x14ac:dyDescent="0.2">
      <c r="A31" s="148"/>
      <c r="B31" s="218"/>
      <c r="C31" s="148" t="str">
        <f>'CF1 '!A41</f>
        <v>Подготовка площадки (включая снос)</v>
      </c>
      <c r="D31" s="225">
        <f>F31/E31</f>
        <v>1465.7932423476784</v>
      </c>
      <c r="E31" s="267">
        <f>ТЭПы!C15</f>
        <v>96572</v>
      </c>
      <c r="F31" s="416">
        <v>141554585</v>
      </c>
      <c r="G31" s="221">
        <f t="shared" si="0"/>
        <v>1.4152296347908202E-3</v>
      </c>
      <c r="H31" s="380" t="s">
        <v>344</v>
      </c>
      <c r="I31" s="142"/>
    </row>
    <row r="32" spans="1:9" x14ac:dyDescent="0.2">
      <c r="A32" s="148"/>
      <c r="B32" s="218"/>
      <c r="C32" s="148" t="str">
        <f>'CF1 '!A43</f>
        <v>СМР надземной части (в т.ч. стилобат)</v>
      </c>
      <c r="D32" s="225">
        <f>F32/E32</f>
        <v>353578.92889249133</v>
      </c>
      <c r="E32" s="379">
        <f>ТЭПы!C35</f>
        <v>149281</v>
      </c>
      <c r="F32" s="222">
        <v>52782616084</v>
      </c>
      <c r="G32" s="221">
        <f t="shared" si="0"/>
        <v>0.52770825108818187</v>
      </c>
      <c r="H32" s="380" t="s">
        <v>346</v>
      </c>
      <c r="I32" s="142"/>
    </row>
    <row r="33" spans="1:9" x14ac:dyDescent="0.2">
      <c r="A33" s="148"/>
      <c r="B33" s="218"/>
      <c r="C33" s="148" t="str">
        <f>'CF1 '!A45</f>
        <v>СМР подземной части</v>
      </c>
      <c r="D33" s="225">
        <f>400000*0.22</f>
        <v>88000</v>
      </c>
      <c r="E33" s="219">
        <v>0</v>
      </c>
      <c r="F33" s="222">
        <f>E33*D33</f>
        <v>0</v>
      </c>
      <c r="G33" s="221">
        <f t="shared" si="0"/>
        <v>0</v>
      </c>
      <c r="H33" s="380"/>
      <c r="I33" s="142"/>
    </row>
    <row r="34" spans="1:9" x14ac:dyDescent="0.2">
      <c r="A34" s="148"/>
      <c r="B34" s="218"/>
      <c r="C34" s="148" t="str">
        <f>'CF1 '!A47</f>
        <v>Отделка МОП</v>
      </c>
      <c r="D34" s="225">
        <f>400000*0.12</f>
        <v>48000</v>
      </c>
      <c r="E34" s="219">
        <v>0</v>
      </c>
      <c r="F34" s="222">
        <f>E34*D34</f>
        <v>0</v>
      </c>
      <c r="G34" s="221">
        <f t="shared" si="0"/>
        <v>0</v>
      </c>
      <c r="H34" s="380"/>
      <c r="I34" s="142"/>
    </row>
    <row r="35" spans="1:9" x14ac:dyDescent="0.2">
      <c r="A35" s="148"/>
      <c r="B35" s="218"/>
      <c r="C35" s="148" t="str">
        <f>'CF1 '!A49</f>
        <v>ТУ и плата за тех. присоединение</v>
      </c>
      <c r="D35" s="225">
        <f t="shared" ref="D35:D40" si="3">F35/E35</f>
        <v>7687.9557139890549</v>
      </c>
      <c r="E35" s="219">
        <f>ТЭПы!C35</f>
        <v>149281</v>
      </c>
      <c r="F35" s="413">
        <f>2295331433.88/2</f>
        <v>1147665716.9400001</v>
      </c>
      <c r="G35" s="221">
        <f t="shared" si="0"/>
        <v>1.1474093427965905E-2</v>
      </c>
      <c r="H35" s="380" t="s">
        <v>345</v>
      </c>
      <c r="I35" s="142"/>
    </row>
    <row r="36" spans="1:9" x14ac:dyDescent="0.2">
      <c r="C36" t="str">
        <f>'CF1 '!A51</f>
        <v>Наружные сети и сооружения</v>
      </c>
      <c r="D36" s="225">
        <f t="shared" si="3"/>
        <v>7687.9557139890549</v>
      </c>
      <c r="E36" s="137">
        <f>ТЭПы!C35</f>
        <v>149281</v>
      </c>
      <c r="F36" s="413">
        <f>F35</f>
        <v>1147665716.9400001</v>
      </c>
      <c r="G36" s="221">
        <f t="shared" si="0"/>
        <v>1.1474093427965905E-2</v>
      </c>
      <c r="H36" s="380" t="s">
        <v>345</v>
      </c>
      <c r="I36" s="142"/>
    </row>
    <row r="37" spans="1:9" x14ac:dyDescent="0.2">
      <c r="A37" s="148"/>
      <c r="B37" s="218"/>
      <c r="C37" s="148" t="str">
        <f>'CF1 '!A53</f>
        <v>Благоустройство, объекты транспортного хозяйства</v>
      </c>
      <c r="D37" s="225">
        <f t="shared" si="3"/>
        <v>46.802385784699503</v>
      </c>
      <c r="E37" s="219">
        <f>ТЭПы!C29</f>
        <v>28971.599999999999</v>
      </c>
      <c r="F37" s="413">
        <v>1355940</v>
      </c>
      <c r="G37" s="221">
        <f t="shared" si="0"/>
        <v>1.3556370999909784E-5</v>
      </c>
      <c r="H37" s="148"/>
    </row>
    <row r="38" spans="1:9" x14ac:dyDescent="0.2">
      <c r="A38" s="148"/>
      <c r="B38" s="218"/>
      <c r="C38" s="380" t="s">
        <v>374</v>
      </c>
      <c r="D38" s="225">
        <f t="shared" si="3"/>
        <v>3588.004173337531</v>
      </c>
      <c r="E38" s="219">
        <f>ТЭПы!C35</f>
        <v>149281</v>
      </c>
      <c r="F38" s="413">
        <v>535620851</v>
      </c>
      <c r="G38" s="221"/>
      <c r="H38" s="148"/>
    </row>
    <row r="39" spans="1:9" x14ac:dyDescent="0.2">
      <c r="C39" t="str">
        <f>'CF1 '!A55</f>
        <v>Прочие СМР</v>
      </c>
      <c r="D39" s="225">
        <f t="shared" si="3"/>
        <v>113.2424928155626</v>
      </c>
      <c r="E39">
        <f>ТЭПы!C35</f>
        <v>149281</v>
      </c>
      <c r="F39" s="413">
        <v>16904952.57</v>
      </c>
      <c r="G39" s="221">
        <f t="shared" si="0"/>
        <v>1.6901176215378144E-4</v>
      </c>
      <c r="H39" t="s">
        <v>375</v>
      </c>
    </row>
    <row r="40" spans="1:9" x14ac:dyDescent="0.2">
      <c r="C40" t="str">
        <f>'CF1 '!A57</f>
        <v>Иные расходы на проекты (охрана, содержание площадки)</v>
      </c>
      <c r="D40" s="225">
        <f t="shared" si="3"/>
        <v>380.74206128040407</v>
      </c>
      <c r="E40" s="137">
        <f>ТЭПы!C35</f>
        <v>149281</v>
      </c>
      <c r="F40" s="413">
        <v>56837555.649999999</v>
      </c>
      <c r="G40" s="221">
        <f t="shared" si="0"/>
        <v>5.6824858852118712E-4</v>
      </c>
    </row>
    <row r="41" spans="1:9" x14ac:dyDescent="0.2">
      <c r="C41" t="str">
        <f>'CF1 '!A59</f>
        <v>Расходы по вводу в эксплуатацию</v>
      </c>
      <c r="D41" s="314">
        <v>1000</v>
      </c>
      <c r="E41" s="381">
        <f>ТЭПы!C35</f>
        <v>149281</v>
      </c>
      <c r="F41" s="222">
        <v>0</v>
      </c>
      <c r="G41" s="221">
        <f t="shared" si="0"/>
        <v>0</v>
      </c>
      <c r="H41" s="380" t="s">
        <v>346</v>
      </c>
    </row>
    <row r="42" spans="1:9" x14ac:dyDescent="0.2">
      <c r="C42" t="str">
        <f>'CF1 '!A61</f>
        <v>Непредвиденные расходы</v>
      </c>
      <c r="D42" s="382">
        <f>(D32+D33+D34)*10%</f>
        <v>48957.892889249139</v>
      </c>
      <c r="E42" s="106">
        <f>ТЭПы!C22+ТЭПы!C23</f>
        <v>153882</v>
      </c>
      <c r="F42" s="222">
        <f>E42+D42</f>
        <v>202839.89288924914</v>
      </c>
      <c r="G42" s="221">
        <f t="shared" si="0"/>
        <v>2.027945809983203E-6</v>
      </c>
    </row>
    <row r="43" spans="1:9" x14ac:dyDescent="0.2">
      <c r="C43" t="str">
        <f>'CF1 '!A63</f>
        <v>Услуги технического заказчика</v>
      </c>
      <c r="D43" s="311">
        <f>F43/E43</f>
        <v>2.0173822758356968E-2</v>
      </c>
      <c r="E43" s="307">
        <f>'План продаж'!D25</f>
        <v>118130288024.50388</v>
      </c>
      <c r="F43" s="308">
        <v>2383139493</v>
      </c>
      <c r="G43" s="221">
        <f t="shared" si="0"/>
        <v>2.3826071294928173E-2</v>
      </c>
    </row>
    <row r="44" spans="1:9" x14ac:dyDescent="0.2">
      <c r="C44" t="str">
        <f>'CF1 '!A65</f>
        <v>Авторский надзор</v>
      </c>
      <c r="D44" s="225"/>
      <c r="F44" s="222">
        <f>E44*D44</f>
        <v>0</v>
      </c>
      <c r="G44" s="221">
        <f t="shared" si="0"/>
        <v>0</v>
      </c>
    </row>
    <row r="45" spans="1:9" x14ac:dyDescent="0.2">
      <c r="C45" t="str">
        <f>'CF1 '!A67</f>
        <v>Мониторинг окружающей застройки</v>
      </c>
      <c r="D45" s="225"/>
      <c r="F45" s="222">
        <v>88670039</v>
      </c>
      <c r="G45" s="221">
        <f t="shared" si="0"/>
        <v>8.8650231224130102E-4</v>
      </c>
      <c r="H45" t="s">
        <v>377</v>
      </c>
    </row>
    <row r="46" spans="1:9" x14ac:dyDescent="0.2">
      <c r="A46" s="148"/>
      <c r="B46" s="218"/>
      <c r="C46" s="306" t="s">
        <v>292</v>
      </c>
      <c r="D46" s="309"/>
      <c r="E46" s="219"/>
      <c r="F46" s="222">
        <f t="shared" ref="F45:F46" si="4">E46*D46</f>
        <v>0</v>
      </c>
      <c r="G46" s="221">
        <f t="shared" si="0"/>
        <v>0</v>
      </c>
      <c r="H46" s="148"/>
    </row>
    <row r="47" spans="1:9" x14ac:dyDescent="0.2">
      <c r="A47" s="148"/>
      <c r="B47" s="218"/>
      <c r="C47" s="306" t="str">
        <f>'CF1 '!A71</f>
        <v>Социальные объекты (отдельно возводимые)</v>
      </c>
      <c r="D47" s="309">
        <f>F47/E47</f>
        <v>34351.793911482368</v>
      </c>
      <c r="E47" s="219">
        <f>ТЭПы!C35</f>
        <v>149281</v>
      </c>
      <c r="F47" s="413">
        <v>5128070146.8999996</v>
      </c>
      <c r="G47" s="221">
        <f t="shared" si="0"/>
        <v>5.1269246002727455E-2</v>
      </c>
      <c r="H47" s="148"/>
    </row>
    <row r="48" spans="1:9" x14ac:dyDescent="0.2">
      <c r="A48" s="148"/>
      <c r="B48" s="218"/>
      <c r="C48" s="306" t="str">
        <f>'CF1 '!A73</f>
        <v xml:space="preserve">Вознаграждение за управление проектом </v>
      </c>
      <c r="D48" s="310">
        <v>0.02</v>
      </c>
      <c r="E48" s="106">
        <f>'План продаж'!D25</f>
        <v>118130288024.50388</v>
      </c>
      <c r="F48" s="413">
        <v>1850054797</v>
      </c>
      <c r="G48" s="221">
        <f t="shared" si="0"/>
        <v>1.8496415179355123E-2</v>
      </c>
      <c r="H48" s="148"/>
    </row>
    <row r="49" spans="1:13" x14ac:dyDescent="0.2">
      <c r="A49" s="148"/>
      <c r="B49" s="167"/>
      <c r="C49" s="327" t="str">
        <f>'CF1 '!A75</f>
        <v>Содержание застройщика</v>
      </c>
      <c r="D49" s="417">
        <f>F49/E49</f>
        <v>1.2236362986774076E-4</v>
      </c>
      <c r="E49" s="169">
        <f>'План продаж'!D25</f>
        <v>118130288024.50388</v>
      </c>
      <c r="F49" s="328">
        <v>14454850.84</v>
      </c>
      <c r="G49" s="229">
        <f t="shared" si="0"/>
        <v>1.445162180741018E-4</v>
      </c>
      <c r="H49" s="148"/>
    </row>
    <row r="50" spans="1:13" x14ac:dyDescent="0.2">
      <c r="A50" s="148"/>
      <c r="B50" s="218" t="s">
        <v>260</v>
      </c>
      <c r="C50" s="148"/>
      <c r="D50" s="226"/>
      <c r="E50" s="148"/>
      <c r="F50" s="220">
        <f>SUM(F51:F52)</f>
        <v>8329369288.6076355</v>
      </c>
      <c r="G50" s="221">
        <f t="shared" si="0"/>
        <v>8.3275086118574385E-2</v>
      </c>
      <c r="H50" s="148"/>
    </row>
    <row r="51" spans="1:13" x14ac:dyDescent="0.2">
      <c r="A51" s="148"/>
      <c r="B51" s="218"/>
      <c r="C51" s="148" t="s">
        <v>261</v>
      </c>
      <c r="D51" s="227">
        <v>3.5000000000000003E-2</v>
      </c>
      <c r="E51" s="219">
        <f>F12</f>
        <v>118130288024.50388</v>
      </c>
      <c r="F51" s="222">
        <f>8389618415.5/2</f>
        <v>4194809207.75</v>
      </c>
      <c r="G51" s="221">
        <f t="shared" si="0"/>
        <v>4.193872139924823E-2</v>
      </c>
      <c r="H51" s="148"/>
    </row>
    <row r="52" spans="1:13" x14ac:dyDescent="0.2">
      <c r="A52" s="148"/>
      <c r="B52" s="167"/>
      <c r="C52" s="168" t="s">
        <v>262</v>
      </c>
      <c r="D52" s="326">
        <v>3.5000000000000003E-2</v>
      </c>
      <c r="E52" s="169">
        <f>F12</f>
        <v>118130288024.50388</v>
      </c>
      <c r="F52" s="173">
        <f>E52*D52</f>
        <v>4134560080.857636</v>
      </c>
      <c r="G52" s="229">
        <f t="shared" si="0"/>
        <v>4.1336364719326162E-2</v>
      </c>
      <c r="H52" s="148"/>
    </row>
    <row r="53" spans="1:13" x14ac:dyDescent="0.2">
      <c r="A53" s="148"/>
      <c r="B53" s="218" t="s">
        <v>1</v>
      </c>
      <c r="C53" s="230"/>
      <c r="D53" s="234"/>
      <c r="E53" s="231"/>
      <c r="F53" s="220">
        <f>SUM(F54:F55)</f>
        <v>6733426417.3967209</v>
      </c>
      <c r="G53" s="232"/>
      <c r="H53" s="148"/>
    </row>
    <row r="54" spans="1:13" x14ac:dyDescent="0.2">
      <c r="A54" s="148"/>
      <c r="C54" s="148" t="s">
        <v>5</v>
      </c>
      <c r="D54" s="312">
        <v>0.22</v>
      </c>
      <c r="E54" s="431">
        <f>(F30+F23+F16)-'План продаж'!D60</f>
        <v>44840627712.031639</v>
      </c>
      <c r="F54" s="329"/>
      <c r="G54" s="221">
        <f>F54/$F$59</f>
        <v>0</v>
      </c>
      <c r="H54" s="325">
        <f>F54/$F$12</f>
        <v>0</v>
      </c>
    </row>
    <row r="55" spans="1:13" x14ac:dyDescent="0.2">
      <c r="A55" s="148"/>
      <c r="C55" s="148" t="s">
        <v>295</v>
      </c>
      <c r="D55" s="312">
        <v>0.25</v>
      </c>
      <c r="E55" s="432"/>
      <c r="F55" s="329">
        <f>M55</f>
        <v>6733426417.3967209</v>
      </c>
      <c r="G55" s="221">
        <f>F55/$F$59</f>
        <v>6.7319222542902596E-2</v>
      </c>
      <c r="H55" s="325">
        <f t="shared" ref="H55" si="5">F55/$F$12</f>
        <v>5.7000000000000002E-2</v>
      </c>
      <c r="J55" s="106">
        <f>F12-F59-F65</f>
        <v>8105709912.1221867</v>
      </c>
      <c r="K55" s="106">
        <f>J55*D55</f>
        <v>2026427478.0305467</v>
      </c>
      <c r="M55" s="385">
        <f>F12*5.7%</f>
        <v>6733426417.3967209</v>
      </c>
    </row>
    <row r="56" spans="1:13" x14ac:dyDescent="0.2">
      <c r="A56" s="148"/>
      <c r="B56" s="347" t="s">
        <v>305</v>
      </c>
      <c r="C56" s="348"/>
      <c r="D56" s="349"/>
      <c r="E56" s="348"/>
      <c r="F56" s="352">
        <f>SUM(F57:F58)</f>
        <v>14386244380.858557</v>
      </c>
      <c r="G56" s="350">
        <f>F56/$F$59</f>
        <v>0.1438303067409222</v>
      </c>
      <c r="H56" s="148"/>
    </row>
    <row r="57" spans="1:13" x14ac:dyDescent="0.2">
      <c r="A57" s="148"/>
      <c r="B57" s="218"/>
      <c r="C57" s="148" t="str">
        <f>'CF1 '!A107</f>
        <v>Проценты начисленные</v>
      </c>
      <c r="F57" s="106">
        <f>-'CF1 '!C107</f>
        <v>14386244380.858557</v>
      </c>
      <c r="G57" s="221"/>
      <c r="H57" s="148"/>
      <c r="M57" s="385"/>
    </row>
    <row r="58" spans="1:13" x14ac:dyDescent="0.2">
      <c r="A58" s="168"/>
      <c r="B58" s="167"/>
      <c r="C58" s="168"/>
      <c r="D58" s="272"/>
      <c r="E58" s="169"/>
      <c r="F58" s="169"/>
      <c r="G58" s="169"/>
      <c r="H58" s="148"/>
    </row>
    <row r="59" spans="1:13" x14ac:dyDescent="0.2">
      <c r="A59" s="148"/>
      <c r="B59" s="218"/>
      <c r="C59" s="218" t="s">
        <v>376</v>
      </c>
      <c r="D59" s="270"/>
      <c r="E59" s="224"/>
      <c r="F59" s="224">
        <f>F16+F20+F23+F30+F50+F54+F55+F56</f>
        <v>100022343738.52881</v>
      </c>
      <c r="G59" s="325">
        <f>G16+G20+G23+G30+G50+G54</f>
        <v>0.7888504707161752</v>
      </c>
      <c r="H59" s="148"/>
    </row>
    <row r="60" spans="1:13" x14ac:dyDescent="0.2">
      <c r="B60" s="166"/>
      <c r="D60" s="145"/>
      <c r="E60" s="106"/>
      <c r="F60" s="106"/>
      <c r="G60" s="106"/>
    </row>
    <row r="61" spans="1:13" ht="15.75" x14ac:dyDescent="0.25">
      <c r="A61" s="84"/>
      <c r="B61" s="84"/>
      <c r="C61" s="84" t="s">
        <v>264</v>
      </c>
      <c r="D61" s="84"/>
      <c r="E61" s="84"/>
      <c r="F61" s="342">
        <f>F12-F59</f>
        <v>18107944285.975067</v>
      </c>
      <c r="G61" s="357">
        <f>G16+G20+G23+G30+G50+G54+G55+G56</f>
        <v>1</v>
      </c>
      <c r="H61" s="434">
        <f>F61/F12</f>
        <v>0.15328790430290765</v>
      </c>
    </row>
    <row r="62" spans="1:13" x14ac:dyDescent="0.2">
      <c r="B62" s="166"/>
      <c r="D62" s="145"/>
      <c r="E62" s="106"/>
      <c r="F62" s="106"/>
      <c r="G62" s="106"/>
    </row>
    <row r="63" spans="1:13" x14ac:dyDescent="0.2">
      <c r="B63" s="166"/>
      <c r="C63" s="166" t="s">
        <v>265</v>
      </c>
      <c r="D63" s="273"/>
      <c r="E63" s="171"/>
      <c r="F63" s="433">
        <f>F61</f>
        <v>18107944285.975067</v>
      </c>
      <c r="G63" s="426" t="s">
        <v>315</v>
      </c>
      <c r="H63" s="426"/>
      <c r="I63" s="426"/>
      <c r="J63" s="426"/>
      <c r="K63" s="426"/>
    </row>
    <row r="64" spans="1:13" x14ac:dyDescent="0.2">
      <c r="B64" s="166"/>
      <c r="C64" s="103" t="s">
        <v>291</v>
      </c>
      <c r="D64" s="145"/>
      <c r="E64" s="106"/>
      <c r="F64" s="278">
        <f>F63/F59</f>
        <v>0.1810389919807473</v>
      </c>
      <c r="G64" s="106"/>
    </row>
    <row r="65" spans="2:7" x14ac:dyDescent="0.2">
      <c r="B65" s="166"/>
      <c r="C65" t="s">
        <v>266</v>
      </c>
      <c r="D65" s="274">
        <v>0.1</v>
      </c>
      <c r="F65" s="435">
        <f>F59*D65</f>
        <v>10002234373.85288</v>
      </c>
      <c r="G65" s="106"/>
    </row>
    <row r="66" spans="2:7" x14ac:dyDescent="0.2">
      <c r="B66" s="166"/>
      <c r="C66" t="s">
        <v>267</v>
      </c>
      <c r="D66" s="145"/>
      <c r="E66" s="106"/>
      <c r="F66" s="278">
        <f>F63/F65</f>
        <v>1.8103899198074731</v>
      </c>
      <c r="G66" s="106"/>
    </row>
    <row r="67" spans="2:7" x14ac:dyDescent="0.2">
      <c r="B67" s="166"/>
      <c r="C67" t="s">
        <v>268</v>
      </c>
      <c r="D67" s="275">
        <f>F67/F59</f>
        <v>0.8368244204635189</v>
      </c>
      <c r="F67" s="145">
        <f>F30+F23+F17+F50+F53</f>
        <v>83701139832.397247</v>
      </c>
      <c r="G67" s="106"/>
    </row>
    <row r="68" spans="2:7" x14ac:dyDescent="0.2">
      <c r="B68" s="166"/>
      <c r="C68" t="s">
        <v>269</v>
      </c>
      <c r="D68" s="274">
        <v>0.15</v>
      </c>
      <c r="F68" s="145">
        <f>F67*D68</f>
        <v>12555170974.859587</v>
      </c>
      <c r="G68" s="170"/>
    </row>
    <row r="69" spans="2:7" x14ac:dyDescent="0.2">
      <c r="B69" s="166"/>
      <c r="C69" t="s">
        <v>270</v>
      </c>
      <c r="D69" s="145"/>
      <c r="E69" s="106"/>
      <c r="F69" s="145">
        <f>F59/E5</f>
        <v>2964609.8650173438</v>
      </c>
      <c r="G69" s="106"/>
    </row>
    <row r="70" spans="2:7" x14ac:dyDescent="0.2">
      <c r="B70" s="166"/>
      <c r="C70" t="s">
        <v>271</v>
      </c>
      <c r="D70" s="145"/>
      <c r="E70" s="106"/>
      <c r="F70" s="145">
        <f>D5</f>
        <v>573799.03196311428</v>
      </c>
      <c r="G70" s="106"/>
    </row>
    <row r="71" spans="2:7" x14ac:dyDescent="0.2">
      <c r="B71" s="166"/>
      <c r="C71" t="s">
        <v>272</v>
      </c>
      <c r="D71" s="145"/>
      <c r="E71" s="106"/>
      <c r="F71" s="279">
        <f>(F70-F69)/F69</f>
        <v>-0.80645040727483475</v>
      </c>
      <c r="G71" s="106"/>
    </row>
    <row r="72" spans="2:7" x14ac:dyDescent="0.2">
      <c r="B72" s="166"/>
      <c r="D72" s="145"/>
      <c r="F72" s="145"/>
      <c r="G72" s="106"/>
    </row>
    <row r="73" spans="2:7" x14ac:dyDescent="0.2">
      <c r="B73" s="166"/>
      <c r="C73" s="172" t="s">
        <v>273</v>
      </c>
      <c r="D73" s="276">
        <f>E73/F12</f>
        <v>0.1306362701446675</v>
      </c>
      <c r="E73" s="171">
        <f>SUM('План продаж'!Q25:S25)</f>
        <v>15432100218.636467</v>
      </c>
      <c r="F73" s="275"/>
      <c r="G73" s="106"/>
    </row>
    <row r="74" spans="2:7" x14ac:dyDescent="0.2">
      <c r="B74" s="166"/>
      <c r="C74" t="s">
        <v>274</v>
      </c>
      <c r="D74" s="277">
        <f>E74/F12</f>
        <v>0.8693637298553325</v>
      </c>
      <c r="E74" s="171">
        <f>F12-E73</f>
        <v>102698187805.8674</v>
      </c>
      <c r="F74" s="145"/>
      <c r="G74" s="106"/>
    </row>
    <row r="75" spans="2:7" x14ac:dyDescent="0.2">
      <c r="B75" s="166"/>
      <c r="C75" t="s">
        <v>298</v>
      </c>
      <c r="D75" s="145"/>
      <c r="E75" s="106">
        <f>F63-E73</f>
        <v>2675844067.3386002</v>
      </c>
      <c r="F75" s="145"/>
      <c r="G75" s="106"/>
    </row>
    <row r="76" spans="2:7" x14ac:dyDescent="0.2">
      <c r="B76" s="166"/>
      <c r="D76" s="145"/>
      <c r="E76" s="170"/>
      <c r="F76" s="145"/>
      <c r="G76" s="106"/>
    </row>
    <row r="77" spans="2:7" x14ac:dyDescent="0.2">
      <c r="F77" s="237"/>
    </row>
    <row r="78" spans="2:7" x14ac:dyDescent="0.2">
      <c r="F78" s="237"/>
    </row>
    <row r="79" spans="2:7" x14ac:dyDescent="0.2">
      <c r="F79" s="237"/>
    </row>
    <row r="80" spans="2:7" x14ac:dyDescent="0.2">
      <c r="F80" s="237"/>
    </row>
    <row r="81" spans="6:6" x14ac:dyDescent="0.2">
      <c r="F81" s="237"/>
    </row>
    <row r="82" spans="6:6" x14ac:dyDescent="0.2">
      <c r="F82" s="237"/>
    </row>
    <row r="83" spans="6:6" x14ac:dyDescent="0.2">
      <c r="F83" s="237"/>
    </row>
    <row r="84" spans="6:6" x14ac:dyDescent="0.2">
      <c r="F84" s="237"/>
    </row>
    <row r="85" spans="6:6" x14ac:dyDescent="0.2">
      <c r="F85" s="237"/>
    </row>
    <row r="86" spans="6:6" x14ac:dyDescent="0.2">
      <c r="F86" s="237"/>
    </row>
  </sheetData>
  <mergeCells count="1">
    <mergeCell ref="G63:K6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ES182"/>
  <sheetViews>
    <sheetView showGridLines="0" zoomScale="70" zoomScaleNormal="70" workbookViewId="0">
      <pane xSplit="4" ySplit="13" topLeftCell="V131" activePane="bottomRight" state="frozen"/>
      <selection pane="topRight" activeCell="D1" sqref="D1"/>
      <selection pane="bottomLeft" activeCell="A9" sqref="A9"/>
      <selection pane="bottomRight" activeCell="D148" sqref="D148"/>
    </sheetView>
  </sheetViews>
  <sheetFormatPr defaultColWidth="8.7109375" defaultRowHeight="15" x14ac:dyDescent="0.2"/>
  <cols>
    <col min="1" max="1" width="75.42578125" style="1" customWidth="1"/>
    <col min="2" max="2" width="23.7109375" style="1" customWidth="1"/>
    <col min="3" max="3" width="22" style="5" customWidth="1"/>
    <col min="4" max="4" width="27.140625" style="8" customWidth="1"/>
    <col min="5" max="5" width="16.7109375" style="8" customWidth="1"/>
    <col min="6" max="6" width="17.85546875" style="1" bestFit="1" customWidth="1"/>
    <col min="7" max="26" width="18.5703125" style="1" bestFit="1" customWidth="1"/>
    <col min="27" max="27" width="18.5703125" style="282" bestFit="1" customWidth="1"/>
    <col min="28" max="28" width="21.140625" style="1" customWidth="1"/>
    <col min="29" max="29" width="18.28515625" style="1" customWidth="1"/>
    <col min="30" max="30" width="18.5703125" style="1" bestFit="1" customWidth="1"/>
    <col min="31" max="31" width="21.7109375" style="1" customWidth="1"/>
    <col min="32" max="41" width="18.5703125" style="1" bestFit="1" customWidth="1"/>
    <col min="42" max="42" width="18.5703125" style="1" customWidth="1"/>
    <col min="43" max="45" width="18.5703125" style="1" bestFit="1" customWidth="1"/>
    <col min="46" max="46" width="11.42578125" style="1" bestFit="1" customWidth="1"/>
    <col min="47" max="47" width="8.7109375" style="1"/>
    <col min="48" max="58" width="11.7109375" style="1" bestFit="1" customWidth="1"/>
    <col min="59" max="16384" width="8.7109375" style="1"/>
  </cols>
  <sheetData>
    <row r="1" spans="1:45" x14ac:dyDescent="0.2">
      <c r="A1" s="18" t="s">
        <v>62</v>
      </c>
      <c r="B1" s="18"/>
      <c r="C1" s="5" t="s">
        <v>152</v>
      </c>
      <c r="F1" s="107" t="s">
        <v>153</v>
      </c>
      <c r="H1" s="108"/>
      <c r="I1" s="108"/>
      <c r="AB1" s="423" t="s">
        <v>154</v>
      </c>
      <c r="AH1" s="282" t="s">
        <v>252</v>
      </c>
    </row>
    <row r="2" spans="1:45" x14ac:dyDescent="0.2">
      <c r="E2" s="19">
        <v>46022</v>
      </c>
      <c r="F2" s="20">
        <f>EDATE(E2,3)</f>
        <v>46112</v>
      </c>
      <c r="G2" s="20">
        <f>EOMONTH(F2,3)</f>
        <v>46203</v>
      </c>
      <c r="H2" s="20">
        <f>EOMONTH(G2,3)</f>
        <v>46295</v>
      </c>
      <c r="I2" s="20">
        <f>EOMONTH(H2,3)</f>
        <v>46387</v>
      </c>
      <c r="J2" s="20">
        <f t="shared" ref="J2:AS2" si="0">EOMONTH(I2,3)</f>
        <v>46477</v>
      </c>
      <c r="K2" s="20">
        <f t="shared" si="0"/>
        <v>46568</v>
      </c>
      <c r="L2" s="20">
        <f t="shared" si="0"/>
        <v>46660</v>
      </c>
      <c r="M2" s="20">
        <f t="shared" si="0"/>
        <v>46752</v>
      </c>
      <c r="N2" s="20">
        <f t="shared" si="0"/>
        <v>46843</v>
      </c>
      <c r="O2" s="99">
        <f t="shared" si="0"/>
        <v>46934</v>
      </c>
      <c r="P2" s="20">
        <f t="shared" si="0"/>
        <v>47026</v>
      </c>
      <c r="Q2" s="20">
        <f t="shared" si="0"/>
        <v>47118</v>
      </c>
      <c r="R2" s="20">
        <f t="shared" si="0"/>
        <v>47208</v>
      </c>
      <c r="S2" s="20">
        <f t="shared" si="0"/>
        <v>47299</v>
      </c>
      <c r="T2" s="20">
        <f t="shared" si="0"/>
        <v>47391</v>
      </c>
      <c r="U2" s="20">
        <f t="shared" si="0"/>
        <v>47483</v>
      </c>
      <c r="V2" s="20">
        <f t="shared" si="0"/>
        <v>47573</v>
      </c>
      <c r="W2" s="20">
        <f t="shared" si="0"/>
        <v>47664</v>
      </c>
      <c r="X2" s="20">
        <f t="shared" si="0"/>
        <v>47756</v>
      </c>
      <c r="Y2" s="20">
        <f t="shared" si="0"/>
        <v>47848</v>
      </c>
      <c r="Z2" s="99">
        <f t="shared" si="0"/>
        <v>47938</v>
      </c>
      <c r="AA2" s="283">
        <f t="shared" si="0"/>
        <v>48029</v>
      </c>
      <c r="AB2" s="20">
        <f t="shared" si="0"/>
        <v>48121</v>
      </c>
      <c r="AC2" s="20">
        <f t="shared" si="0"/>
        <v>48213</v>
      </c>
      <c r="AD2" s="20">
        <f t="shared" si="0"/>
        <v>48304</v>
      </c>
      <c r="AE2" s="20">
        <f t="shared" si="0"/>
        <v>48395</v>
      </c>
      <c r="AF2" s="20">
        <f t="shared" si="0"/>
        <v>48487</v>
      </c>
      <c r="AG2" s="20">
        <f t="shared" si="0"/>
        <v>48579</v>
      </c>
      <c r="AH2" s="20">
        <f t="shared" si="0"/>
        <v>48669</v>
      </c>
      <c r="AI2" s="20">
        <f t="shared" si="0"/>
        <v>48760</v>
      </c>
      <c r="AJ2" s="20">
        <f t="shared" si="0"/>
        <v>48852</v>
      </c>
      <c r="AK2" s="20">
        <f t="shared" si="0"/>
        <v>48944</v>
      </c>
      <c r="AL2" s="20">
        <f t="shared" si="0"/>
        <v>49034</v>
      </c>
      <c r="AM2" s="20">
        <f t="shared" si="0"/>
        <v>49125</v>
      </c>
      <c r="AN2" s="20">
        <f t="shared" si="0"/>
        <v>49217</v>
      </c>
      <c r="AO2" s="20">
        <f t="shared" si="0"/>
        <v>49309</v>
      </c>
      <c r="AP2" s="20">
        <f t="shared" si="0"/>
        <v>49399</v>
      </c>
      <c r="AQ2" s="20">
        <f t="shared" si="0"/>
        <v>49490</v>
      </c>
      <c r="AR2" s="20">
        <f t="shared" si="0"/>
        <v>49582</v>
      </c>
      <c r="AS2" s="20">
        <f t="shared" si="0"/>
        <v>49674</v>
      </c>
    </row>
    <row r="3" spans="1:45" x14ac:dyDescent="0.2">
      <c r="A3" s="21" t="s">
        <v>29</v>
      </c>
      <c r="B3" s="21"/>
      <c r="C3" s="75"/>
      <c r="D3" s="22"/>
      <c r="E3" s="22"/>
      <c r="F3" s="23">
        <f>F2-E2</f>
        <v>90</v>
      </c>
      <c r="G3" s="23">
        <f>G2-F2</f>
        <v>91</v>
      </c>
      <c r="H3" s="23">
        <f t="shared" ref="H3:Q3" si="1">H2-G2</f>
        <v>92</v>
      </c>
      <c r="I3" s="23">
        <f t="shared" si="1"/>
        <v>92</v>
      </c>
      <c r="J3" s="23">
        <f t="shared" si="1"/>
        <v>90</v>
      </c>
      <c r="K3" s="23">
        <f t="shared" si="1"/>
        <v>91</v>
      </c>
      <c r="L3" s="23">
        <f t="shared" si="1"/>
        <v>92</v>
      </c>
      <c r="M3" s="23">
        <f t="shared" si="1"/>
        <v>92</v>
      </c>
      <c r="N3" s="23">
        <f t="shared" si="1"/>
        <v>91</v>
      </c>
      <c r="O3" s="23">
        <f t="shared" si="1"/>
        <v>91</v>
      </c>
      <c r="P3" s="23">
        <f t="shared" si="1"/>
        <v>92</v>
      </c>
      <c r="Q3" s="23">
        <f t="shared" si="1"/>
        <v>92</v>
      </c>
      <c r="R3" s="23">
        <f t="shared" ref="R3:AS3" si="2">R2-Q2</f>
        <v>90</v>
      </c>
      <c r="S3" s="23">
        <f t="shared" si="2"/>
        <v>91</v>
      </c>
      <c r="T3" s="23">
        <f t="shared" si="2"/>
        <v>92</v>
      </c>
      <c r="U3" s="23">
        <f t="shared" si="2"/>
        <v>92</v>
      </c>
      <c r="V3" s="23">
        <f t="shared" si="2"/>
        <v>90</v>
      </c>
      <c r="W3" s="23">
        <f t="shared" si="2"/>
        <v>91</v>
      </c>
      <c r="X3" s="23">
        <f t="shared" si="2"/>
        <v>92</v>
      </c>
      <c r="Y3" s="23">
        <f t="shared" si="2"/>
        <v>92</v>
      </c>
      <c r="Z3" s="23">
        <f t="shared" si="2"/>
        <v>90</v>
      </c>
      <c r="AA3" s="284">
        <f t="shared" si="2"/>
        <v>91</v>
      </c>
      <c r="AB3" s="23">
        <f t="shared" si="2"/>
        <v>92</v>
      </c>
      <c r="AC3" s="23">
        <f t="shared" si="2"/>
        <v>92</v>
      </c>
      <c r="AD3" s="23">
        <f t="shared" si="2"/>
        <v>91</v>
      </c>
      <c r="AE3" s="23">
        <f t="shared" si="2"/>
        <v>91</v>
      </c>
      <c r="AF3" s="23">
        <f t="shared" si="2"/>
        <v>92</v>
      </c>
      <c r="AG3" s="23">
        <f t="shared" si="2"/>
        <v>92</v>
      </c>
      <c r="AH3" s="23">
        <f t="shared" si="2"/>
        <v>90</v>
      </c>
      <c r="AI3" s="23">
        <f t="shared" si="2"/>
        <v>91</v>
      </c>
      <c r="AJ3" s="23">
        <f t="shared" si="2"/>
        <v>92</v>
      </c>
      <c r="AK3" s="23">
        <f t="shared" si="2"/>
        <v>92</v>
      </c>
      <c r="AL3" s="23">
        <f t="shared" si="2"/>
        <v>90</v>
      </c>
      <c r="AM3" s="23">
        <f t="shared" si="2"/>
        <v>91</v>
      </c>
      <c r="AN3" s="23">
        <f t="shared" si="2"/>
        <v>92</v>
      </c>
      <c r="AO3" s="23">
        <f t="shared" si="2"/>
        <v>92</v>
      </c>
      <c r="AP3" s="23">
        <f t="shared" si="2"/>
        <v>90</v>
      </c>
      <c r="AQ3" s="23">
        <f t="shared" si="2"/>
        <v>91</v>
      </c>
      <c r="AR3" s="23">
        <f t="shared" si="2"/>
        <v>92</v>
      </c>
      <c r="AS3" s="23">
        <f t="shared" si="2"/>
        <v>92</v>
      </c>
    </row>
    <row r="4" spans="1:45" x14ac:dyDescent="0.2">
      <c r="A4" s="24" t="s">
        <v>123</v>
      </c>
      <c r="B4" s="24"/>
      <c r="C4" s="75"/>
      <c r="D4" s="25" t="str">
        <f>ТЭПы!C7</f>
        <v>4 кв 2025</v>
      </c>
      <c r="E4" s="22"/>
      <c r="F4" s="23">
        <f>IF(F2=$D$4,1,0)</f>
        <v>0</v>
      </c>
      <c r="G4" s="23">
        <f t="shared" ref="G4:AS4" si="3">IF(G2=$D$4,1,0)</f>
        <v>0</v>
      </c>
      <c r="H4" s="23">
        <f t="shared" si="3"/>
        <v>0</v>
      </c>
      <c r="I4" s="23">
        <f t="shared" si="3"/>
        <v>0</v>
      </c>
      <c r="J4" s="23">
        <f t="shared" si="3"/>
        <v>0</v>
      </c>
      <c r="K4" s="23">
        <f t="shared" si="3"/>
        <v>0</v>
      </c>
      <c r="L4" s="23">
        <f t="shared" si="3"/>
        <v>0</v>
      </c>
      <c r="M4" s="23">
        <f t="shared" si="3"/>
        <v>0</v>
      </c>
      <c r="N4" s="23">
        <f t="shared" si="3"/>
        <v>0</v>
      </c>
      <c r="O4" s="23">
        <f t="shared" si="3"/>
        <v>0</v>
      </c>
      <c r="P4" s="23">
        <f t="shared" si="3"/>
        <v>0</v>
      </c>
      <c r="Q4" s="23">
        <f t="shared" si="3"/>
        <v>0</v>
      </c>
      <c r="R4" s="23">
        <f t="shared" si="3"/>
        <v>0</v>
      </c>
      <c r="S4" s="23">
        <f t="shared" si="3"/>
        <v>0</v>
      </c>
      <c r="T4" s="23">
        <f t="shared" si="3"/>
        <v>0</v>
      </c>
      <c r="U4" s="23">
        <f t="shared" si="3"/>
        <v>0</v>
      </c>
      <c r="V4" s="23">
        <f t="shared" si="3"/>
        <v>0</v>
      </c>
      <c r="W4" s="23">
        <f t="shared" si="3"/>
        <v>0</v>
      </c>
      <c r="X4" s="23">
        <f t="shared" si="3"/>
        <v>0</v>
      </c>
      <c r="Y4" s="23">
        <f t="shared" si="3"/>
        <v>0</v>
      </c>
      <c r="Z4" s="23">
        <f t="shared" si="3"/>
        <v>0</v>
      </c>
      <c r="AA4" s="284">
        <f t="shared" si="3"/>
        <v>0</v>
      </c>
      <c r="AB4" s="23">
        <f t="shared" si="3"/>
        <v>0</v>
      </c>
      <c r="AC4" s="23">
        <f t="shared" si="3"/>
        <v>0</v>
      </c>
      <c r="AD4" s="23">
        <f t="shared" si="3"/>
        <v>0</v>
      </c>
      <c r="AE4" s="23">
        <f t="shared" si="3"/>
        <v>0</v>
      </c>
      <c r="AF4" s="23">
        <f t="shared" si="3"/>
        <v>0</v>
      </c>
      <c r="AG4" s="23">
        <f t="shared" si="3"/>
        <v>0</v>
      </c>
      <c r="AH4" s="23">
        <f t="shared" si="3"/>
        <v>0</v>
      </c>
      <c r="AI4" s="23">
        <f t="shared" si="3"/>
        <v>0</v>
      </c>
      <c r="AJ4" s="23">
        <f t="shared" si="3"/>
        <v>0</v>
      </c>
      <c r="AK4" s="23">
        <f t="shared" si="3"/>
        <v>0</v>
      </c>
      <c r="AL4" s="23">
        <f t="shared" si="3"/>
        <v>0</v>
      </c>
      <c r="AM4" s="23">
        <f t="shared" si="3"/>
        <v>0</v>
      </c>
      <c r="AN4" s="23">
        <f t="shared" si="3"/>
        <v>0</v>
      </c>
      <c r="AO4" s="23">
        <f t="shared" si="3"/>
        <v>0</v>
      </c>
      <c r="AP4" s="23">
        <f t="shared" si="3"/>
        <v>0</v>
      </c>
      <c r="AQ4" s="23">
        <f t="shared" si="3"/>
        <v>0</v>
      </c>
      <c r="AR4" s="23">
        <f t="shared" si="3"/>
        <v>0</v>
      </c>
      <c r="AS4" s="23">
        <f t="shared" si="3"/>
        <v>0</v>
      </c>
    </row>
    <row r="5" spans="1:45" x14ac:dyDescent="0.2">
      <c r="A5" s="24" t="s">
        <v>39</v>
      </c>
      <c r="B5" s="24"/>
      <c r="D5" s="25" t="str">
        <f>ТЭПы!C9</f>
        <v>1 кв 2032</v>
      </c>
      <c r="E5" s="22"/>
      <c r="F5" s="23">
        <f>IF(AND(F2&gt;=$D$4,F2&lt;=$D$5),1,0)</f>
        <v>0</v>
      </c>
      <c r="G5" s="23">
        <f t="shared" ref="G5:AS5" si="4">IF(AND(G2&gt;=$D$4,G2&lt;=$D$5),1,0)</f>
        <v>0</v>
      </c>
      <c r="H5" s="23">
        <f t="shared" si="4"/>
        <v>0</v>
      </c>
      <c r="I5" s="23">
        <f t="shared" si="4"/>
        <v>0</v>
      </c>
      <c r="J5" s="23">
        <f t="shared" si="4"/>
        <v>0</v>
      </c>
      <c r="K5" s="23">
        <f t="shared" si="4"/>
        <v>0</v>
      </c>
      <c r="L5" s="23">
        <f t="shared" si="4"/>
        <v>0</v>
      </c>
      <c r="M5" s="23">
        <f t="shared" si="4"/>
        <v>0</v>
      </c>
      <c r="N5" s="23">
        <f t="shared" si="4"/>
        <v>0</v>
      </c>
      <c r="O5" s="23">
        <f t="shared" si="4"/>
        <v>0</v>
      </c>
      <c r="P5" s="23">
        <f t="shared" si="4"/>
        <v>0</v>
      </c>
      <c r="Q5" s="23">
        <f t="shared" si="4"/>
        <v>0</v>
      </c>
      <c r="R5" s="23">
        <f t="shared" si="4"/>
        <v>0</v>
      </c>
      <c r="S5" s="23">
        <f t="shared" si="4"/>
        <v>0</v>
      </c>
      <c r="T5" s="23">
        <f t="shared" si="4"/>
        <v>0</v>
      </c>
      <c r="U5" s="23">
        <f t="shared" si="4"/>
        <v>0</v>
      </c>
      <c r="V5" s="23">
        <f t="shared" si="4"/>
        <v>0</v>
      </c>
      <c r="W5" s="23">
        <f t="shared" si="4"/>
        <v>0</v>
      </c>
      <c r="X5" s="23">
        <f>IF(AND(X2&gt;=$D$4,X2&lt;=$D$5),1,0)</f>
        <v>0</v>
      </c>
      <c r="Y5" s="23">
        <f t="shared" si="4"/>
        <v>0</v>
      </c>
      <c r="Z5" s="23">
        <f t="shared" si="4"/>
        <v>0</v>
      </c>
      <c r="AA5" s="284">
        <f t="shared" si="4"/>
        <v>0</v>
      </c>
      <c r="AB5" s="23">
        <f t="shared" si="4"/>
        <v>0</v>
      </c>
      <c r="AC5" s="23">
        <f t="shared" si="4"/>
        <v>0</v>
      </c>
      <c r="AD5" s="23">
        <f t="shared" si="4"/>
        <v>0</v>
      </c>
      <c r="AE5" s="23">
        <f t="shared" si="4"/>
        <v>0</v>
      </c>
      <c r="AF5" s="23">
        <f t="shared" si="4"/>
        <v>0</v>
      </c>
      <c r="AG5" s="23">
        <f t="shared" si="4"/>
        <v>0</v>
      </c>
      <c r="AH5" s="23">
        <f t="shared" si="4"/>
        <v>0</v>
      </c>
      <c r="AI5" s="23">
        <f>IF(AND(AI2&gt;=$D$4,AI2&lt;=$D$5),1,0)</f>
        <v>0</v>
      </c>
      <c r="AJ5" s="23">
        <f t="shared" si="4"/>
        <v>0</v>
      </c>
      <c r="AK5" s="23">
        <f t="shared" si="4"/>
        <v>0</v>
      </c>
      <c r="AL5" s="23">
        <f t="shared" si="4"/>
        <v>0</v>
      </c>
      <c r="AM5" s="23">
        <f t="shared" si="4"/>
        <v>0</v>
      </c>
      <c r="AN5" s="23">
        <f t="shared" si="4"/>
        <v>0</v>
      </c>
      <c r="AO5" s="23">
        <f t="shared" si="4"/>
        <v>0</v>
      </c>
      <c r="AP5" s="23">
        <f t="shared" si="4"/>
        <v>0</v>
      </c>
      <c r="AQ5" s="23">
        <f t="shared" si="4"/>
        <v>0</v>
      </c>
      <c r="AR5" s="23">
        <f t="shared" si="4"/>
        <v>0</v>
      </c>
      <c r="AS5" s="23">
        <f t="shared" si="4"/>
        <v>0</v>
      </c>
    </row>
    <row r="6" spans="1:45" x14ac:dyDescent="0.2">
      <c r="A6" s="24" t="s">
        <v>8</v>
      </c>
      <c r="B6" s="24"/>
      <c r="D6" s="25" t="str">
        <f>ТЭПы!C12</f>
        <v>2 кв 2032</v>
      </c>
      <c r="E6" s="22"/>
      <c r="F6" s="23">
        <f t="shared" ref="F6:AS6" si="5">IF(F2=$D$6,1,0)</f>
        <v>0</v>
      </c>
      <c r="G6" s="23">
        <f t="shared" si="5"/>
        <v>0</v>
      </c>
      <c r="H6" s="23">
        <f t="shared" si="5"/>
        <v>0</v>
      </c>
      <c r="I6" s="23">
        <f t="shared" si="5"/>
        <v>0</v>
      </c>
      <c r="J6" s="23">
        <f t="shared" si="5"/>
        <v>0</v>
      </c>
      <c r="K6" s="23">
        <f t="shared" si="5"/>
        <v>0</v>
      </c>
      <c r="L6" s="23">
        <f t="shared" si="5"/>
        <v>0</v>
      </c>
      <c r="M6" s="23">
        <f t="shared" si="5"/>
        <v>0</v>
      </c>
      <c r="N6" s="23">
        <f t="shared" si="5"/>
        <v>0</v>
      </c>
      <c r="O6" s="23">
        <f t="shared" si="5"/>
        <v>0</v>
      </c>
      <c r="P6" s="23">
        <f t="shared" si="5"/>
        <v>0</v>
      </c>
      <c r="Q6" s="23">
        <f t="shared" si="5"/>
        <v>0</v>
      </c>
      <c r="R6" s="23">
        <f t="shared" si="5"/>
        <v>0</v>
      </c>
      <c r="S6" s="23">
        <f t="shared" si="5"/>
        <v>0</v>
      </c>
      <c r="T6" s="23">
        <f t="shared" si="5"/>
        <v>0</v>
      </c>
      <c r="U6" s="23">
        <f t="shared" si="5"/>
        <v>0</v>
      </c>
      <c r="V6" s="23">
        <f t="shared" si="5"/>
        <v>0</v>
      </c>
      <c r="W6" s="23">
        <f t="shared" si="5"/>
        <v>0</v>
      </c>
      <c r="X6" s="23">
        <f t="shared" si="5"/>
        <v>0</v>
      </c>
      <c r="Y6" s="23">
        <f t="shared" si="5"/>
        <v>0</v>
      </c>
      <c r="Z6" s="23">
        <f t="shared" si="5"/>
        <v>0</v>
      </c>
      <c r="AA6" s="284">
        <f t="shared" si="5"/>
        <v>0</v>
      </c>
      <c r="AB6" s="23">
        <v>1</v>
      </c>
      <c r="AC6" s="23">
        <v>0</v>
      </c>
      <c r="AD6" s="23">
        <v>0</v>
      </c>
      <c r="AE6" s="23">
        <v>0</v>
      </c>
      <c r="AF6" s="23">
        <v>0</v>
      </c>
      <c r="AG6" s="23">
        <f t="shared" si="5"/>
        <v>0</v>
      </c>
      <c r="AH6" s="23">
        <f t="shared" si="5"/>
        <v>0</v>
      </c>
      <c r="AI6" s="23">
        <f t="shared" si="5"/>
        <v>0</v>
      </c>
      <c r="AJ6" s="23">
        <f t="shared" si="5"/>
        <v>0</v>
      </c>
      <c r="AK6" s="23">
        <f t="shared" si="5"/>
        <v>0</v>
      </c>
      <c r="AL6" s="23">
        <f t="shared" si="5"/>
        <v>0</v>
      </c>
      <c r="AM6" s="23">
        <f t="shared" si="5"/>
        <v>0</v>
      </c>
      <c r="AN6" s="23">
        <f t="shared" si="5"/>
        <v>0</v>
      </c>
      <c r="AO6" s="23">
        <f t="shared" si="5"/>
        <v>0</v>
      </c>
      <c r="AP6" s="23">
        <f t="shared" si="5"/>
        <v>0</v>
      </c>
      <c r="AQ6" s="23">
        <f t="shared" si="5"/>
        <v>0</v>
      </c>
      <c r="AR6" s="23">
        <f t="shared" si="5"/>
        <v>0</v>
      </c>
      <c r="AS6" s="23">
        <f t="shared" si="5"/>
        <v>0</v>
      </c>
    </row>
    <row r="7" spans="1:45" x14ac:dyDescent="0.2">
      <c r="A7" s="21" t="s">
        <v>136</v>
      </c>
      <c r="B7" s="21"/>
      <c r="D7" s="62"/>
      <c r="E7" s="22"/>
      <c r="F7" s="23">
        <v>1</v>
      </c>
      <c r="G7" s="23">
        <v>1</v>
      </c>
      <c r="H7" s="23">
        <v>1</v>
      </c>
      <c r="I7" s="23">
        <v>1</v>
      </c>
      <c r="J7" s="23">
        <v>2</v>
      </c>
      <c r="K7" s="23">
        <v>2</v>
      </c>
      <c r="L7" s="23">
        <v>2</v>
      </c>
      <c r="M7" s="23">
        <v>2</v>
      </c>
      <c r="N7" s="23">
        <v>3</v>
      </c>
      <c r="O7" s="23">
        <v>3</v>
      </c>
      <c r="P7" s="23">
        <v>3</v>
      </c>
      <c r="Q7" s="23">
        <v>3</v>
      </c>
      <c r="R7" s="23">
        <v>4</v>
      </c>
      <c r="S7" s="23">
        <v>4</v>
      </c>
      <c r="T7" s="23">
        <v>4</v>
      </c>
      <c r="U7" s="23">
        <v>4</v>
      </c>
      <c r="V7" s="23">
        <v>5</v>
      </c>
      <c r="W7" s="23">
        <v>5</v>
      </c>
      <c r="X7" s="23">
        <v>5</v>
      </c>
      <c r="Y7" s="23">
        <v>5</v>
      </c>
      <c r="Z7" s="23">
        <v>6</v>
      </c>
      <c r="AA7" s="284">
        <v>6</v>
      </c>
      <c r="AB7" s="23">
        <v>6</v>
      </c>
      <c r="AC7" s="23">
        <v>6</v>
      </c>
      <c r="AD7" s="23">
        <f>ROUNDUP(SUM($E$5:AD$5)/4,0)*AD5</f>
        <v>0</v>
      </c>
      <c r="AE7" s="23">
        <f>ROUNDUP(SUM($E$5:AE$5)/4,0)*AE5</f>
        <v>0</v>
      </c>
      <c r="AF7" s="23">
        <f>ROUNDUP(SUM($E$5:AF$5)/4,0)*AF5</f>
        <v>0</v>
      </c>
      <c r="AG7" s="23">
        <f>ROUNDUP(SUM($E$5:AG$5)/4,0)*AG5</f>
        <v>0</v>
      </c>
      <c r="AH7" s="23">
        <f>ROUNDUP(SUM($E$5:AH$5)/4,0)*AH5</f>
        <v>0</v>
      </c>
      <c r="AI7" s="23">
        <f>ROUNDUP(SUM($E$5:AI$5)/4,0)*AI5</f>
        <v>0</v>
      </c>
      <c r="AJ7" s="23">
        <f>ROUNDUP(SUM($E$5:AJ$5)/4,0)*AJ5</f>
        <v>0</v>
      </c>
      <c r="AK7" s="23">
        <f>ROUNDUP(SUM($E$5:AK$5)/4,0)*AK5</f>
        <v>0</v>
      </c>
      <c r="AL7" s="23">
        <f>ROUNDUP(SUM($E$5:AL$5)/4,0)*AL5</f>
        <v>0</v>
      </c>
      <c r="AM7" s="23">
        <f>ROUNDUP(SUM($E$5:AM$5)/4,0)*AM5</f>
        <v>0</v>
      </c>
      <c r="AN7" s="23">
        <f>ROUNDUP(SUM($E$5:AN$5)/4,0)*AN5</f>
        <v>0</v>
      </c>
      <c r="AO7" s="23">
        <f>ROUNDUP(SUM($E$5:AO$5)/4,0)*AO5</f>
        <v>0</v>
      </c>
      <c r="AP7" s="23">
        <f>ROUNDUP(SUM($E$5:AP$5)/4,0)*AP5</f>
        <v>0</v>
      </c>
      <c r="AQ7" s="23">
        <f>ROUNDUP(SUM($E$5:AQ$5)/4,0)*AQ5</f>
        <v>0</v>
      </c>
      <c r="AR7" s="23">
        <f>ROUNDUP(SUM($E$5:AR$5)/4,0)*AR5</f>
        <v>0</v>
      </c>
      <c r="AS7" s="23">
        <f>ROUNDUP(SUM($E$5:AS$5)/4,0)*AS5</f>
        <v>0</v>
      </c>
    </row>
    <row r="8" spans="1:45" x14ac:dyDescent="0.2">
      <c r="A8" s="21" t="s">
        <v>110</v>
      </c>
      <c r="B8" s="21"/>
      <c r="D8" s="62"/>
      <c r="E8" s="22"/>
      <c r="F8" s="23">
        <f t="shared" ref="F8:AS8" si="6">IF(F2&lt;=$D$6,1,0)</f>
        <v>1</v>
      </c>
      <c r="G8" s="23">
        <f t="shared" si="6"/>
        <v>1</v>
      </c>
      <c r="H8" s="23">
        <f t="shared" si="6"/>
        <v>1</v>
      </c>
      <c r="I8" s="23">
        <f t="shared" si="6"/>
        <v>1</v>
      </c>
      <c r="J8" s="23">
        <f t="shared" si="6"/>
        <v>1</v>
      </c>
      <c r="K8" s="23">
        <f t="shared" si="6"/>
        <v>1</v>
      </c>
      <c r="L8" s="23">
        <f t="shared" si="6"/>
        <v>1</v>
      </c>
      <c r="M8" s="23">
        <f t="shared" si="6"/>
        <v>1</v>
      </c>
      <c r="N8" s="23">
        <f t="shared" si="6"/>
        <v>1</v>
      </c>
      <c r="O8" s="23">
        <f t="shared" si="6"/>
        <v>1</v>
      </c>
      <c r="P8" s="23">
        <f t="shared" si="6"/>
        <v>1</v>
      </c>
      <c r="Q8" s="23">
        <f t="shared" si="6"/>
        <v>1</v>
      </c>
      <c r="R8" s="23">
        <f t="shared" si="6"/>
        <v>1</v>
      </c>
      <c r="S8" s="23">
        <f t="shared" si="6"/>
        <v>1</v>
      </c>
      <c r="T8" s="23">
        <f t="shared" si="6"/>
        <v>1</v>
      </c>
      <c r="U8" s="23">
        <f t="shared" si="6"/>
        <v>1</v>
      </c>
      <c r="V8" s="23">
        <f t="shared" si="6"/>
        <v>1</v>
      </c>
      <c r="W8" s="23">
        <f t="shared" si="6"/>
        <v>1</v>
      </c>
      <c r="X8" s="23">
        <f t="shared" si="6"/>
        <v>1</v>
      </c>
      <c r="Y8" s="23">
        <f t="shared" si="6"/>
        <v>1</v>
      </c>
      <c r="Z8" s="23">
        <f t="shared" si="6"/>
        <v>1</v>
      </c>
      <c r="AA8" s="284">
        <f t="shared" si="6"/>
        <v>1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</row>
    <row r="9" spans="1:45" x14ac:dyDescent="0.2">
      <c r="A9" s="21" t="s">
        <v>9</v>
      </c>
      <c r="B9" s="21"/>
      <c r="D9" s="62"/>
      <c r="E9" s="22"/>
      <c r="F9" s="23">
        <f t="shared" ref="F9:AS9" si="7">IF(F2&gt;$D$6,1,0)</f>
        <v>0</v>
      </c>
      <c r="G9" s="23">
        <f t="shared" si="7"/>
        <v>0</v>
      </c>
      <c r="H9" s="23">
        <f t="shared" si="7"/>
        <v>0</v>
      </c>
      <c r="I9" s="23">
        <f t="shared" si="7"/>
        <v>0</v>
      </c>
      <c r="J9" s="23">
        <f t="shared" si="7"/>
        <v>0</v>
      </c>
      <c r="K9" s="23">
        <f t="shared" si="7"/>
        <v>0</v>
      </c>
      <c r="L9" s="23">
        <f t="shared" si="7"/>
        <v>0</v>
      </c>
      <c r="M9" s="23">
        <f t="shared" si="7"/>
        <v>0</v>
      </c>
      <c r="N9" s="23">
        <f t="shared" si="7"/>
        <v>0</v>
      </c>
      <c r="O9" s="23">
        <f t="shared" si="7"/>
        <v>0</v>
      </c>
      <c r="P9" s="23">
        <f t="shared" si="7"/>
        <v>0</v>
      </c>
      <c r="Q9" s="23">
        <f t="shared" si="7"/>
        <v>0</v>
      </c>
      <c r="R9" s="23">
        <f t="shared" si="7"/>
        <v>0</v>
      </c>
      <c r="S9" s="23">
        <f t="shared" si="7"/>
        <v>0</v>
      </c>
      <c r="T9" s="23">
        <f t="shared" si="7"/>
        <v>0</v>
      </c>
      <c r="U9" s="23">
        <f t="shared" si="7"/>
        <v>0</v>
      </c>
      <c r="V9" s="23">
        <f t="shared" si="7"/>
        <v>0</v>
      </c>
      <c r="W9" s="23">
        <f t="shared" si="7"/>
        <v>0</v>
      </c>
      <c r="X9" s="23">
        <f t="shared" si="7"/>
        <v>0</v>
      </c>
      <c r="Y9" s="23">
        <f t="shared" si="7"/>
        <v>0</v>
      </c>
      <c r="Z9" s="23">
        <f t="shared" si="7"/>
        <v>0</v>
      </c>
      <c r="AA9" s="284">
        <f t="shared" si="7"/>
        <v>0</v>
      </c>
      <c r="AB9" s="23">
        <f t="shared" si="7"/>
        <v>0</v>
      </c>
      <c r="AC9" s="23">
        <f t="shared" si="7"/>
        <v>0</v>
      </c>
      <c r="AD9" s="23">
        <f t="shared" si="7"/>
        <v>0</v>
      </c>
      <c r="AE9" s="23">
        <f t="shared" si="7"/>
        <v>0</v>
      </c>
      <c r="AF9" s="23">
        <f t="shared" si="7"/>
        <v>0</v>
      </c>
      <c r="AG9" s="23">
        <f t="shared" si="7"/>
        <v>0</v>
      </c>
      <c r="AH9" s="23">
        <f t="shared" si="7"/>
        <v>0</v>
      </c>
      <c r="AI9" s="23">
        <f t="shared" si="7"/>
        <v>0</v>
      </c>
      <c r="AJ9" s="23">
        <f t="shared" si="7"/>
        <v>0</v>
      </c>
      <c r="AK9" s="23">
        <f t="shared" si="7"/>
        <v>0</v>
      </c>
      <c r="AL9" s="23">
        <f t="shared" si="7"/>
        <v>0</v>
      </c>
      <c r="AM9" s="23">
        <f t="shared" si="7"/>
        <v>0</v>
      </c>
      <c r="AN9" s="23">
        <f t="shared" si="7"/>
        <v>0</v>
      </c>
      <c r="AO9" s="23">
        <f t="shared" si="7"/>
        <v>0</v>
      </c>
      <c r="AP9" s="23">
        <f t="shared" si="7"/>
        <v>0</v>
      </c>
      <c r="AQ9" s="23">
        <f t="shared" si="7"/>
        <v>0</v>
      </c>
      <c r="AR9" s="23">
        <f t="shared" si="7"/>
        <v>0</v>
      </c>
      <c r="AS9" s="23">
        <f t="shared" si="7"/>
        <v>0</v>
      </c>
    </row>
    <row r="10" spans="1:45" x14ac:dyDescent="0.2">
      <c r="A10" s="1" t="s">
        <v>137</v>
      </c>
      <c r="D10" s="26">
        <f>ТЭПы!C19</f>
        <v>221967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5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</row>
    <row r="11" spans="1:45" x14ac:dyDescent="0.2">
      <c r="A11" s="1" t="s">
        <v>138</v>
      </c>
      <c r="D11" s="26">
        <f>ТЭПы!C22+ТЭПы!C23</f>
        <v>153882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5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</row>
    <row r="12" spans="1:45" x14ac:dyDescent="0.2">
      <c r="C12" s="36"/>
      <c r="D12" s="26"/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5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</row>
    <row r="13" spans="1:45" ht="15.75" x14ac:dyDescent="0.25">
      <c r="C13" s="76" t="s">
        <v>87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5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</row>
    <row r="14" spans="1:45" x14ac:dyDescent="0.2">
      <c r="C14" s="3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5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</row>
    <row r="15" spans="1:45" s="2" customFormat="1" ht="15.75" x14ac:dyDescent="0.25">
      <c r="A15" s="2" t="s">
        <v>109</v>
      </c>
      <c r="B15" s="85">
        <f>'Бюджет '!F12</f>
        <v>118130288024.50388</v>
      </c>
      <c r="C15" s="85">
        <f>SUM(F15:AS15)</f>
        <v>117514091710.13669</v>
      </c>
      <c r="F15" s="85">
        <f>'План продаж'!E25</f>
        <v>4184396165.448</v>
      </c>
      <c r="G15" s="85">
        <f>'План продаж'!F25</f>
        <v>1327438940.8280399</v>
      </c>
      <c r="H15" s="85">
        <f>'План продаж'!G25</f>
        <v>910806395.88234961</v>
      </c>
      <c r="I15" s="85">
        <f>'План продаж'!H25</f>
        <v>1145773565.8414426</v>
      </c>
      <c r="J15" s="85">
        <f>'План продаж'!I25</f>
        <v>966516697.75369287</v>
      </c>
      <c r="K15" s="85">
        <f>'План продаж'!J25</f>
        <v>2506525526.8464594</v>
      </c>
      <c r="L15" s="85">
        <f>'План продаж'!K25</f>
        <v>2982765190.1158152</v>
      </c>
      <c r="M15" s="85">
        <f>'План продаж'!L25</f>
        <v>3622099783.7054105</v>
      </c>
      <c r="N15" s="85">
        <f>'План продаж'!M25</f>
        <v>3885636630.0461707</v>
      </c>
      <c r="O15" s="85">
        <f>'План продаж'!N25</f>
        <v>3395478627.4537606</v>
      </c>
      <c r="P15" s="85">
        <f>'План продаж'!O25</f>
        <v>4025021543.5035386</v>
      </c>
      <c r="Q15" s="85">
        <f>'План продаж'!P25</f>
        <v>4562188090.063899</v>
      </c>
      <c r="R15" s="85">
        <f>'План продаж'!Q25</f>
        <v>4891867441.0956249</v>
      </c>
      <c r="S15" s="85">
        <f>'План продаж'!R25</f>
        <v>5325358595.5541496</v>
      </c>
      <c r="T15" s="85">
        <f>'План продаж'!S25</f>
        <v>5214874181.9866924</v>
      </c>
      <c r="U15" s="85">
        <f>'План продаж'!T25</f>
        <v>5621785192.1031818</v>
      </c>
      <c r="V15" s="85">
        <f>'План продаж'!U25</f>
        <v>5949611796.7453861</v>
      </c>
      <c r="W15" s="85">
        <f>'План продаж'!V25</f>
        <v>5975290890.9104586</v>
      </c>
      <c r="X15" s="85">
        <f>'План продаж'!W25</f>
        <v>6083390330.1103821</v>
      </c>
      <c r="Y15" s="85">
        <f>'План продаж'!X25</f>
        <v>6265137552.4220562</v>
      </c>
      <c r="Z15" s="85">
        <f>'План продаж'!Y25</f>
        <v>5236897437.9479446</v>
      </c>
      <c r="AA15" s="85">
        <f>'План продаж'!Z25</f>
        <v>4907416303.926034</v>
      </c>
      <c r="AB15" s="85">
        <f>'План продаж'!AA25</f>
        <v>5321515423.2366829</v>
      </c>
      <c r="AC15" s="85">
        <f>'План продаж'!AB25</f>
        <v>4885838105.2203197</v>
      </c>
      <c r="AD15" s="85">
        <f>'План продаж'!AC25</f>
        <v>5019117897.4417973</v>
      </c>
      <c r="AE15" s="85">
        <f>'План продаж'!AD25</f>
        <v>5330006902.7222013</v>
      </c>
      <c r="AF15" s="85">
        <f>'План продаж'!AE25</f>
        <v>3820872693.8372025</v>
      </c>
      <c r="AG15" s="85">
        <f>'План продаж'!AF25</f>
        <v>3073062335.0190625</v>
      </c>
      <c r="AH15" s="85">
        <f>'План продаж'!AG25</f>
        <v>1077401472.368937</v>
      </c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</row>
    <row r="16" spans="1:45" x14ac:dyDescent="0.2">
      <c r="D16" s="26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5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</row>
    <row r="17" spans="1:1017 1058:2029 2070:3041 3082:5109 5150:6121 6162:7133 7174:8189 8230:9201 9242:10213 10254:11225 11266:12281 12322:13293 13334:14305 14346:16373" x14ac:dyDescent="0.2">
      <c r="A17" s="4"/>
      <c r="B17" s="4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287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1017 1058:2029 2070:3041 3082:5109 5150:6121 6162:7133 7174:8189 8230:9201 9242:10213 10254:11225 11266:12281 12322:13293 13334:14305 14346:16373" s="2" customFormat="1" ht="15.75" x14ac:dyDescent="0.25">
      <c r="A18" s="2" t="s">
        <v>58</v>
      </c>
      <c r="B18" s="85">
        <f>+B20+B23+B27+B40+B77</f>
        <v>76905419429.735367</v>
      </c>
      <c r="C18" s="85">
        <f>SUM(F18:AS18)</f>
        <v>76888564375.779022</v>
      </c>
      <c r="D18" s="85">
        <f>C18-D19+C81-C107</f>
        <v>81982972121.545059</v>
      </c>
      <c r="F18" s="85">
        <f t="shared" ref="F18:AS18" si="8">SUM(F20,F23,F27,F40,F77)</f>
        <v>2021531144.6606643</v>
      </c>
      <c r="G18" s="85">
        <f t="shared" si="8"/>
        <v>689175246.66066444</v>
      </c>
      <c r="H18" s="85">
        <f t="shared" si="8"/>
        <v>1739366611.7789865</v>
      </c>
      <c r="I18" s="85">
        <f t="shared" si="8"/>
        <v>1770519406.5614865</v>
      </c>
      <c r="J18" s="85">
        <f t="shared" si="8"/>
        <v>1770519406.5614865</v>
      </c>
      <c r="K18" s="85">
        <f t="shared" si="8"/>
        <v>3167270835.7964869</v>
      </c>
      <c r="L18" s="85">
        <f t="shared" si="8"/>
        <v>2340824087.2088156</v>
      </c>
      <c r="M18" s="85">
        <f t="shared" si="8"/>
        <v>3608048527.2021751</v>
      </c>
      <c r="N18" s="85">
        <f t="shared" si="8"/>
        <v>3379750604.4787779</v>
      </c>
      <c r="O18" s="85">
        <f t="shared" si="8"/>
        <v>2376275987.0932164</v>
      </c>
      <c r="P18" s="85">
        <f t="shared" si="8"/>
        <v>2963026341.2387533</v>
      </c>
      <c r="Q18" s="85">
        <f t="shared" si="8"/>
        <v>4091083664.9694114</v>
      </c>
      <c r="R18" s="85">
        <f t="shared" si="8"/>
        <v>4198884283.0059047</v>
      </c>
      <c r="S18" s="85">
        <f t="shared" si="8"/>
        <v>4519151606.3263054</v>
      </c>
      <c r="T18" s="85">
        <f t="shared" si="8"/>
        <v>4563905027.8775768</v>
      </c>
      <c r="U18" s="85">
        <f t="shared" si="8"/>
        <v>4295422060.2298851</v>
      </c>
      <c r="V18" s="85">
        <f t="shared" si="8"/>
        <v>4605410715.1304159</v>
      </c>
      <c r="W18" s="85">
        <f t="shared" si="8"/>
        <v>5702302097.5909004</v>
      </c>
      <c r="X18" s="85">
        <f t="shared" si="8"/>
        <v>5625137184.1561251</v>
      </c>
      <c r="Y18" s="85">
        <f t="shared" si="8"/>
        <v>4816693373.216547</v>
      </c>
      <c r="Z18" s="85">
        <f t="shared" si="8"/>
        <v>4560121324.793643</v>
      </c>
      <c r="AA18" s="286">
        <f t="shared" si="8"/>
        <v>418503150.10856849</v>
      </c>
      <c r="AB18" s="85">
        <f t="shared" si="8"/>
        <v>436477478.90639526</v>
      </c>
      <c r="AC18" s="85">
        <f t="shared" si="8"/>
        <v>407693316.40579975</v>
      </c>
      <c r="AD18" s="85">
        <f t="shared" si="8"/>
        <v>413256877.42932904</v>
      </c>
      <c r="AE18" s="85">
        <f t="shared" si="8"/>
        <v>427921472.98614049</v>
      </c>
      <c r="AF18" s="85">
        <f t="shared" si="8"/>
        <v>381462928.45607412</v>
      </c>
      <c r="AG18" s="85">
        <f t="shared" si="8"/>
        <v>319301161.8908453</v>
      </c>
      <c r="AH18" s="85">
        <f t="shared" si="8"/>
        <v>237921192.00732401</v>
      </c>
      <c r="AI18" s="85">
        <f t="shared" si="8"/>
        <v>192853854.52711937</v>
      </c>
      <c r="AJ18" s="85">
        <f t="shared" si="8"/>
        <v>177737164.69082338</v>
      </c>
      <c r="AK18" s="85">
        <f t="shared" si="8"/>
        <v>183902351.6913659</v>
      </c>
      <c r="AL18" s="85">
        <f t="shared" si="8"/>
        <v>186550241.59527707</v>
      </c>
      <c r="AM18" s="85">
        <f t="shared" si="8"/>
        <v>133730544.2843021</v>
      </c>
      <c r="AN18" s="85">
        <f t="shared" si="8"/>
        <v>107557181.72566719</v>
      </c>
      <c r="AO18" s="85">
        <f t="shared" si="8"/>
        <v>37709051.532912798</v>
      </c>
      <c r="AP18" s="85">
        <f t="shared" si="8"/>
        <v>6600814.7138354592</v>
      </c>
      <c r="AQ18" s="85">
        <f t="shared" si="8"/>
        <v>6732831.0081121679</v>
      </c>
      <c r="AR18" s="85">
        <f t="shared" si="8"/>
        <v>8233225.2809029892</v>
      </c>
      <c r="AS18" s="85">
        <f t="shared" si="8"/>
        <v>0</v>
      </c>
    </row>
    <row r="19" spans="1:1017 1058:2029 2070:3041 3082:5109 5150:6121 6162:7133 7174:8189 8230:9201 9242:10213 10254:11225 11266:12281 12322:13293 13334:14305 14346:16373" x14ac:dyDescent="0.2">
      <c r="A19" s="4"/>
      <c r="B19" s="4"/>
      <c r="D19" s="26">
        <f>SUM(I18:N18)</f>
        <v>16036932867.809231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287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1017 1058:2029 2070:3041 3082:5109 5150:6121 6162:7133 7174:8189 8230:9201 9242:10213 10254:11225 11266:12281 12322:13293 13334:14305 14346:16373" s="30" customFormat="1" ht="15.75" x14ac:dyDescent="0.25">
      <c r="A20" s="50" t="s">
        <v>2</v>
      </c>
      <c r="B20" s="86">
        <f>B21</f>
        <v>1330355898</v>
      </c>
      <c r="C20" s="77">
        <f t="shared" ref="C20:C51" si="9">SUM(F20:AS20)</f>
        <v>1330355898</v>
      </c>
      <c r="D20" s="51"/>
      <c r="E20" s="51"/>
      <c r="F20" s="53">
        <f>F21</f>
        <v>1330355898</v>
      </c>
      <c r="G20" s="53">
        <f t="shared" ref="G20:AS20" si="10">G21</f>
        <v>0</v>
      </c>
      <c r="H20" s="53">
        <f t="shared" si="10"/>
        <v>0</v>
      </c>
      <c r="I20" s="53">
        <f t="shared" si="10"/>
        <v>0</v>
      </c>
      <c r="J20" s="53">
        <f t="shared" si="10"/>
        <v>0</v>
      </c>
      <c r="K20" s="53">
        <f t="shared" si="10"/>
        <v>0</v>
      </c>
      <c r="L20" s="53">
        <f t="shared" si="10"/>
        <v>0</v>
      </c>
      <c r="M20" s="53">
        <f t="shared" si="10"/>
        <v>0</v>
      </c>
      <c r="N20" s="53">
        <f t="shared" si="10"/>
        <v>0</v>
      </c>
      <c r="O20" s="53">
        <f t="shared" si="10"/>
        <v>0</v>
      </c>
      <c r="P20" s="53">
        <f t="shared" si="10"/>
        <v>0</v>
      </c>
      <c r="Q20" s="53">
        <f t="shared" si="10"/>
        <v>0</v>
      </c>
      <c r="R20" s="53">
        <f t="shared" si="10"/>
        <v>0</v>
      </c>
      <c r="S20" s="53">
        <f t="shared" si="10"/>
        <v>0</v>
      </c>
      <c r="T20" s="53">
        <f t="shared" si="10"/>
        <v>0</v>
      </c>
      <c r="U20" s="53">
        <f t="shared" si="10"/>
        <v>0</v>
      </c>
      <c r="V20" s="53">
        <f t="shared" si="10"/>
        <v>0</v>
      </c>
      <c r="W20" s="53">
        <f t="shared" si="10"/>
        <v>0</v>
      </c>
      <c r="X20" s="53">
        <f t="shared" si="10"/>
        <v>0</v>
      </c>
      <c r="Y20" s="53">
        <f t="shared" si="10"/>
        <v>0</v>
      </c>
      <c r="Z20" s="53">
        <f t="shared" si="10"/>
        <v>0</v>
      </c>
      <c r="AA20" s="288">
        <f t="shared" si="10"/>
        <v>0</v>
      </c>
      <c r="AB20" s="53">
        <f t="shared" si="10"/>
        <v>0</v>
      </c>
      <c r="AC20" s="53">
        <f t="shared" si="10"/>
        <v>0</v>
      </c>
      <c r="AD20" s="53">
        <f t="shared" si="10"/>
        <v>0</v>
      </c>
      <c r="AE20" s="53">
        <f t="shared" si="10"/>
        <v>0</v>
      </c>
      <c r="AF20" s="53">
        <f t="shared" si="10"/>
        <v>0</v>
      </c>
      <c r="AG20" s="53">
        <f t="shared" si="10"/>
        <v>0</v>
      </c>
      <c r="AH20" s="53">
        <f t="shared" si="10"/>
        <v>0</v>
      </c>
      <c r="AI20" s="53">
        <f t="shared" si="10"/>
        <v>0</v>
      </c>
      <c r="AJ20" s="53">
        <f t="shared" si="10"/>
        <v>0</v>
      </c>
      <c r="AK20" s="53">
        <f t="shared" si="10"/>
        <v>0</v>
      </c>
      <c r="AL20" s="53">
        <f t="shared" si="10"/>
        <v>0</v>
      </c>
      <c r="AM20" s="53">
        <f t="shared" si="10"/>
        <v>0</v>
      </c>
      <c r="AN20" s="53">
        <f t="shared" si="10"/>
        <v>0</v>
      </c>
      <c r="AO20" s="53">
        <f t="shared" si="10"/>
        <v>0</v>
      </c>
      <c r="AP20" s="53">
        <f t="shared" si="10"/>
        <v>0</v>
      </c>
      <c r="AQ20" s="53">
        <f t="shared" si="10"/>
        <v>0</v>
      </c>
      <c r="AR20" s="53">
        <f t="shared" si="10"/>
        <v>0</v>
      </c>
      <c r="AS20" s="53">
        <f t="shared" si="10"/>
        <v>0</v>
      </c>
      <c r="AT20" s="31"/>
      <c r="AU20" s="26"/>
      <c r="AV20" s="26"/>
      <c r="AW20" s="26"/>
      <c r="CL20" s="31"/>
      <c r="CM20" s="26"/>
      <c r="CN20" s="26"/>
      <c r="CO20" s="26"/>
      <c r="ED20" s="31"/>
      <c r="EE20" s="26"/>
      <c r="EF20" s="26"/>
      <c r="EG20" s="26"/>
      <c r="FV20" s="31"/>
      <c r="FW20" s="26"/>
      <c r="FX20" s="26"/>
      <c r="FY20" s="26"/>
      <c r="HN20" s="31"/>
      <c r="HO20" s="26"/>
      <c r="HP20" s="26"/>
      <c r="HQ20" s="26"/>
      <c r="JF20" s="31"/>
      <c r="JG20" s="26"/>
      <c r="JH20" s="26"/>
      <c r="JI20" s="26"/>
      <c r="KX20" s="31"/>
      <c r="KY20" s="26"/>
      <c r="KZ20" s="26"/>
      <c r="LA20" s="26"/>
      <c r="MP20" s="31"/>
      <c r="MQ20" s="26"/>
      <c r="MR20" s="26"/>
      <c r="MS20" s="26"/>
      <c r="OH20" s="31"/>
      <c r="OI20" s="26"/>
      <c r="OJ20" s="26"/>
      <c r="OK20" s="26"/>
      <c r="PZ20" s="31"/>
      <c r="QA20" s="26"/>
      <c r="QB20" s="26"/>
      <c r="QC20" s="26"/>
      <c r="RR20" s="31"/>
      <c r="RS20" s="26"/>
      <c r="RT20" s="26"/>
      <c r="RU20" s="26"/>
      <c r="TJ20" s="31"/>
      <c r="TK20" s="26"/>
      <c r="TL20" s="26"/>
      <c r="TM20" s="26"/>
      <c r="VB20" s="31"/>
      <c r="VC20" s="26"/>
      <c r="VD20" s="26"/>
      <c r="VE20" s="26"/>
      <c r="WT20" s="31"/>
      <c r="WU20" s="26"/>
      <c r="WV20" s="26"/>
      <c r="WW20" s="26"/>
      <c r="YL20" s="31"/>
      <c r="YM20" s="26"/>
      <c r="YN20" s="26"/>
      <c r="YO20" s="26"/>
      <c r="AAD20" s="31"/>
      <c r="AAE20" s="26"/>
      <c r="AAF20" s="26"/>
      <c r="AAG20" s="26"/>
      <c r="ABV20" s="31"/>
      <c r="ABW20" s="26"/>
      <c r="ABX20" s="26"/>
      <c r="ABY20" s="26"/>
      <c r="ADN20" s="31"/>
      <c r="ADO20" s="26"/>
      <c r="ADP20" s="26"/>
      <c r="ADQ20" s="26"/>
      <c r="AFF20" s="31"/>
      <c r="AFG20" s="26"/>
      <c r="AFH20" s="26"/>
      <c r="AFI20" s="26"/>
      <c r="AGX20" s="31"/>
      <c r="AGY20" s="26"/>
      <c r="AGZ20" s="26"/>
      <c r="AHA20" s="26"/>
      <c r="AIP20" s="31"/>
      <c r="AIQ20" s="26"/>
      <c r="AIR20" s="26"/>
      <c r="AIS20" s="26"/>
      <c r="AKH20" s="31"/>
      <c r="AKI20" s="26"/>
      <c r="AKJ20" s="26"/>
      <c r="AKK20" s="26"/>
      <c r="ALZ20" s="31"/>
      <c r="AMA20" s="26"/>
      <c r="AMB20" s="26"/>
      <c r="AMC20" s="26"/>
      <c r="ANR20" s="31"/>
      <c r="ANS20" s="26"/>
      <c r="ANT20" s="26"/>
      <c r="ANU20" s="26"/>
      <c r="APJ20" s="31"/>
      <c r="APK20" s="26"/>
      <c r="APL20" s="26"/>
      <c r="APM20" s="26"/>
      <c r="ARB20" s="31"/>
      <c r="ARC20" s="26"/>
      <c r="ARD20" s="26"/>
      <c r="ARE20" s="26"/>
      <c r="AST20" s="31"/>
      <c r="ASU20" s="26"/>
      <c r="ASV20" s="26"/>
      <c r="ASW20" s="26"/>
      <c r="AUL20" s="31"/>
      <c r="AUM20" s="26"/>
      <c r="AUN20" s="26"/>
      <c r="AUO20" s="26"/>
      <c r="AWD20" s="31"/>
      <c r="AWE20" s="26"/>
      <c r="AWF20" s="26"/>
      <c r="AWG20" s="26"/>
      <c r="AXV20" s="31"/>
      <c r="AXW20" s="26"/>
      <c r="AXX20" s="26"/>
      <c r="AXY20" s="26"/>
      <c r="AZN20" s="31"/>
      <c r="AZO20" s="26"/>
      <c r="AZP20" s="26"/>
      <c r="AZQ20" s="26"/>
      <c r="BBF20" s="31"/>
      <c r="BBG20" s="26"/>
      <c r="BBH20" s="26"/>
      <c r="BBI20" s="26"/>
      <c r="BCX20" s="31"/>
      <c r="BCY20" s="26"/>
      <c r="BCZ20" s="26"/>
      <c r="BDA20" s="26"/>
      <c r="BEP20" s="31"/>
      <c r="BEQ20" s="26"/>
      <c r="BER20" s="26"/>
      <c r="BES20" s="26"/>
      <c r="BGH20" s="31"/>
      <c r="BGI20" s="26"/>
      <c r="BGJ20" s="26"/>
      <c r="BGK20" s="26"/>
      <c r="BHZ20" s="31"/>
      <c r="BIA20" s="26"/>
      <c r="BIB20" s="26"/>
      <c r="BIC20" s="26"/>
      <c r="BJR20" s="31"/>
      <c r="BJS20" s="26"/>
      <c r="BJT20" s="26"/>
      <c r="BJU20" s="26"/>
      <c r="BLJ20" s="31"/>
      <c r="BLK20" s="26"/>
      <c r="BLL20" s="26"/>
      <c r="BLM20" s="26"/>
      <c r="BNB20" s="31"/>
      <c r="BNC20" s="26"/>
      <c r="BND20" s="26"/>
      <c r="BNE20" s="26"/>
      <c r="BOT20" s="31"/>
      <c r="BOU20" s="26"/>
      <c r="BOV20" s="26"/>
      <c r="BOW20" s="26"/>
      <c r="BQL20" s="31"/>
      <c r="BQM20" s="26"/>
      <c r="BQN20" s="26"/>
      <c r="BQO20" s="26"/>
      <c r="BSD20" s="31"/>
      <c r="BSE20" s="26"/>
      <c r="BSF20" s="26"/>
      <c r="BSG20" s="26"/>
      <c r="BTV20" s="31"/>
      <c r="BTW20" s="26"/>
      <c r="BTX20" s="26"/>
      <c r="BTY20" s="26"/>
      <c r="BVN20" s="31"/>
      <c r="BVO20" s="26"/>
      <c r="BVP20" s="26"/>
      <c r="BVQ20" s="26"/>
      <c r="BXF20" s="31"/>
      <c r="BXG20" s="26"/>
      <c r="BXH20" s="26"/>
      <c r="BXI20" s="26"/>
      <c r="BYX20" s="31"/>
      <c r="BYY20" s="26"/>
      <c r="BYZ20" s="26"/>
      <c r="BZA20" s="26"/>
      <c r="CAP20" s="31"/>
      <c r="CAQ20" s="26"/>
      <c r="CAR20" s="26"/>
      <c r="CAS20" s="26"/>
      <c r="CCH20" s="31"/>
      <c r="CCI20" s="26"/>
      <c r="CCJ20" s="26"/>
      <c r="CCK20" s="26"/>
      <c r="CDZ20" s="31"/>
      <c r="CEA20" s="26"/>
      <c r="CEB20" s="26"/>
      <c r="CEC20" s="26"/>
      <c r="CFR20" s="31"/>
      <c r="CFS20" s="26"/>
      <c r="CFT20" s="26"/>
      <c r="CFU20" s="26"/>
      <c r="CHJ20" s="31"/>
      <c r="CHK20" s="26"/>
      <c r="CHL20" s="26"/>
      <c r="CHM20" s="26"/>
      <c r="CJB20" s="31"/>
      <c r="CJC20" s="26"/>
      <c r="CJD20" s="26"/>
      <c r="CJE20" s="26"/>
      <c r="CKT20" s="31"/>
      <c r="CKU20" s="26"/>
      <c r="CKV20" s="26"/>
      <c r="CKW20" s="26"/>
      <c r="CML20" s="31"/>
      <c r="CMM20" s="26"/>
      <c r="CMN20" s="26"/>
      <c r="CMO20" s="26"/>
      <c r="COD20" s="31"/>
      <c r="COE20" s="26"/>
      <c r="COF20" s="26"/>
      <c r="COG20" s="26"/>
      <c r="CPV20" s="31"/>
      <c r="CPW20" s="26"/>
      <c r="CPX20" s="26"/>
      <c r="CPY20" s="26"/>
      <c r="CRN20" s="31"/>
      <c r="CRO20" s="26"/>
      <c r="CRP20" s="26"/>
      <c r="CRQ20" s="26"/>
      <c r="CTF20" s="31"/>
      <c r="CTG20" s="26"/>
      <c r="CTH20" s="26"/>
      <c r="CTI20" s="26"/>
      <c r="CUX20" s="31"/>
      <c r="CUY20" s="26"/>
      <c r="CUZ20" s="26"/>
      <c r="CVA20" s="26"/>
      <c r="CWP20" s="31"/>
      <c r="CWQ20" s="26"/>
      <c r="CWR20" s="26"/>
      <c r="CWS20" s="26"/>
      <c r="CYH20" s="31"/>
      <c r="CYI20" s="26"/>
      <c r="CYJ20" s="26"/>
      <c r="CYK20" s="26"/>
      <c r="CZZ20" s="31"/>
      <c r="DAA20" s="26"/>
      <c r="DAB20" s="26"/>
      <c r="DAC20" s="26"/>
      <c r="DBR20" s="31"/>
      <c r="DBS20" s="26"/>
      <c r="DBT20" s="26"/>
      <c r="DBU20" s="26"/>
      <c r="DDJ20" s="31"/>
      <c r="DDK20" s="26"/>
      <c r="DDL20" s="26"/>
      <c r="DDM20" s="26"/>
      <c r="DFB20" s="31"/>
      <c r="DFC20" s="26"/>
      <c r="DFD20" s="26"/>
      <c r="DFE20" s="26"/>
      <c r="DGT20" s="31"/>
      <c r="DGU20" s="26"/>
      <c r="DGV20" s="26"/>
      <c r="DGW20" s="26"/>
      <c r="DIL20" s="31"/>
      <c r="DIM20" s="26"/>
      <c r="DIN20" s="26"/>
      <c r="DIO20" s="26"/>
      <c r="DKD20" s="31"/>
      <c r="DKE20" s="26"/>
      <c r="DKF20" s="26"/>
      <c r="DKG20" s="26"/>
      <c r="DLV20" s="31"/>
      <c r="DLW20" s="26"/>
      <c r="DLX20" s="26"/>
      <c r="DLY20" s="26"/>
      <c r="DNN20" s="31"/>
      <c r="DNO20" s="26"/>
      <c r="DNP20" s="26"/>
      <c r="DNQ20" s="26"/>
      <c r="DPF20" s="31"/>
      <c r="DPG20" s="26"/>
      <c r="DPH20" s="26"/>
      <c r="DPI20" s="26"/>
      <c r="DQX20" s="31"/>
      <c r="DQY20" s="26"/>
      <c r="DQZ20" s="26"/>
      <c r="DRA20" s="26"/>
      <c r="DSP20" s="31"/>
      <c r="DSQ20" s="26"/>
      <c r="DSR20" s="26"/>
      <c r="DSS20" s="26"/>
      <c r="DUH20" s="31"/>
      <c r="DUI20" s="26"/>
      <c r="DUJ20" s="26"/>
      <c r="DUK20" s="26"/>
      <c r="DVZ20" s="31"/>
      <c r="DWA20" s="26"/>
      <c r="DWB20" s="26"/>
      <c r="DWC20" s="26"/>
      <c r="DXR20" s="31"/>
      <c r="DXS20" s="26"/>
      <c r="DXT20" s="26"/>
      <c r="DXU20" s="26"/>
      <c r="DZJ20" s="31"/>
      <c r="DZK20" s="26"/>
      <c r="DZL20" s="26"/>
      <c r="DZM20" s="26"/>
      <c r="EBB20" s="31"/>
      <c r="EBC20" s="26"/>
      <c r="EBD20" s="26"/>
      <c r="EBE20" s="26"/>
      <c r="ECT20" s="31"/>
      <c r="ECU20" s="26"/>
      <c r="ECV20" s="26"/>
      <c r="ECW20" s="26"/>
      <c r="EEL20" s="31"/>
      <c r="EEM20" s="26"/>
      <c r="EEN20" s="26"/>
      <c r="EEO20" s="26"/>
      <c r="EGD20" s="31"/>
      <c r="EGE20" s="26"/>
      <c r="EGF20" s="26"/>
      <c r="EGG20" s="26"/>
      <c r="EHV20" s="31"/>
      <c r="EHW20" s="26"/>
      <c r="EHX20" s="26"/>
      <c r="EHY20" s="26"/>
      <c r="EJN20" s="31"/>
      <c r="EJO20" s="26"/>
      <c r="EJP20" s="26"/>
      <c r="EJQ20" s="26"/>
      <c r="ELF20" s="31"/>
      <c r="ELG20" s="26"/>
      <c r="ELH20" s="26"/>
      <c r="ELI20" s="26"/>
      <c r="EMX20" s="31"/>
      <c r="EMY20" s="26"/>
      <c r="EMZ20" s="26"/>
      <c r="ENA20" s="26"/>
      <c r="EOP20" s="31"/>
      <c r="EOQ20" s="26"/>
      <c r="EOR20" s="26"/>
      <c r="EOS20" s="26"/>
      <c r="EQH20" s="31"/>
      <c r="EQI20" s="26"/>
      <c r="EQJ20" s="26"/>
      <c r="EQK20" s="26"/>
      <c r="ERZ20" s="31"/>
      <c r="ESA20" s="26"/>
      <c r="ESB20" s="26"/>
      <c r="ESC20" s="26"/>
      <c r="ETR20" s="31"/>
      <c r="ETS20" s="26"/>
      <c r="ETT20" s="26"/>
      <c r="ETU20" s="26"/>
      <c r="EVJ20" s="31"/>
      <c r="EVK20" s="26"/>
      <c r="EVL20" s="26"/>
      <c r="EVM20" s="26"/>
      <c r="EXB20" s="31"/>
      <c r="EXC20" s="26"/>
      <c r="EXD20" s="26"/>
      <c r="EXE20" s="26"/>
      <c r="EYT20" s="31"/>
      <c r="EYU20" s="26"/>
      <c r="EYV20" s="26"/>
      <c r="EYW20" s="26"/>
      <c r="FAL20" s="31"/>
      <c r="FAM20" s="26"/>
      <c r="FAN20" s="26"/>
      <c r="FAO20" s="26"/>
      <c r="FCD20" s="31"/>
      <c r="FCE20" s="26"/>
      <c r="FCF20" s="26"/>
      <c r="FCG20" s="26"/>
      <c r="FDV20" s="31"/>
      <c r="FDW20" s="26"/>
      <c r="FDX20" s="26"/>
      <c r="FDY20" s="26"/>
      <c r="FFN20" s="31"/>
      <c r="FFO20" s="26"/>
      <c r="FFP20" s="26"/>
      <c r="FFQ20" s="26"/>
      <c r="FHF20" s="31"/>
      <c r="FHG20" s="26"/>
      <c r="FHH20" s="26"/>
      <c r="FHI20" s="26"/>
      <c r="FIX20" s="31"/>
      <c r="FIY20" s="26"/>
      <c r="FIZ20" s="26"/>
      <c r="FJA20" s="26"/>
      <c r="FKP20" s="31"/>
      <c r="FKQ20" s="26"/>
      <c r="FKR20" s="26"/>
      <c r="FKS20" s="26"/>
      <c r="FMH20" s="31"/>
      <c r="FMI20" s="26"/>
      <c r="FMJ20" s="26"/>
      <c r="FMK20" s="26"/>
      <c r="FNZ20" s="31"/>
      <c r="FOA20" s="26"/>
      <c r="FOB20" s="26"/>
      <c r="FOC20" s="26"/>
      <c r="FPR20" s="31"/>
      <c r="FPS20" s="26"/>
      <c r="FPT20" s="26"/>
      <c r="FPU20" s="26"/>
      <c r="FRJ20" s="31"/>
      <c r="FRK20" s="26"/>
      <c r="FRL20" s="26"/>
      <c r="FRM20" s="26"/>
      <c r="FTB20" s="31"/>
      <c r="FTC20" s="26"/>
      <c r="FTD20" s="26"/>
      <c r="FTE20" s="26"/>
      <c r="FUT20" s="31"/>
      <c r="FUU20" s="26"/>
      <c r="FUV20" s="26"/>
      <c r="FUW20" s="26"/>
      <c r="FWL20" s="31"/>
      <c r="FWM20" s="26"/>
      <c r="FWN20" s="26"/>
      <c r="FWO20" s="26"/>
      <c r="FYD20" s="31"/>
      <c r="FYE20" s="26"/>
      <c r="FYF20" s="26"/>
      <c r="FYG20" s="26"/>
      <c r="FZV20" s="31"/>
      <c r="FZW20" s="26"/>
      <c r="FZX20" s="26"/>
      <c r="FZY20" s="26"/>
      <c r="GBN20" s="31"/>
      <c r="GBO20" s="26"/>
      <c r="GBP20" s="26"/>
      <c r="GBQ20" s="26"/>
      <c r="GDF20" s="31"/>
      <c r="GDG20" s="26"/>
      <c r="GDH20" s="26"/>
      <c r="GDI20" s="26"/>
      <c r="GEX20" s="31"/>
      <c r="GEY20" s="26"/>
      <c r="GEZ20" s="26"/>
      <c r="GFA20" s="26"/>
      <c r="GGP20" s="31"/>
      <c r="GGQ20" s="26"/>
      <c r="GGR20" s="26"/>
      <c r="GGS20" s="26"/>
      <c r="GIH20" s="31"/>
      <c r="GII20" s="26"/>
      <c r="GIJ20" s="26"/>
      <c r="GIK20" s="26"/>
      <c r="GJZ20" s="31"/>
      <c r="GKA20" s="26"/>
      <c r="GKB20" s="26"/>
      <c r="GKC20" s="26"/>
      <c r="GLR20" s="31"/>
      <c r="GLS20" s="26"/>
      <c r="GLT20" s="26"/>
      <c r="GLU20" s="26"/>
      <c r="GNJ20" s="31"/>
      <c r="GNK20" s="26"/>
      <c r="GNL20" s="26"/>
      <c r="GNM20" s="26"/>
      <c r="GPB20" s="31"/>
      <c r="GPC20" s="26"/>
      <c r="GPD20" s="26"/>
      <c r="GPE20" s="26"/>
      <c r="GQT20" s="31"/>
      <c r="GQU20" s="26"/>
      <c r="GQV20" s="26"/>
      <c r="GQW20" s="26"/>
      <c r="GSL20" s="31"/>
      <c r="GSM20" s="26"/>
      <c r="GSN20" s="26"/>
      <c r="GSO20" s="26"/>
      <c r="GUD20" s="31"/>
      <c r="GUE20" s="26"/>
      <c r="GUF20" s="26"/>
      <c r="GUG20" s="26"/>
      <c r="GVV20" s="31"/>
      <c r="GVW20" s="26"/>
      <c r="GVX20" s="26"/>
      <c r="GVY20" s="26"/>
      <c r="GXN20" s="31"/>
      <c r="GXO20" s="26"/>
      <c r="GXP20" s="26"/>
      <c r="GXQ20" s="26"/>
      <c r="GZF20" s="31"/>
      <c r="GZG20" s="26"/>
      <c r="GZH20" s="26"/>
      <c r="GZI20" s="26"/>
      <c r="HAX20" s="31"/>
      <c r="HAY20" s="26"/>
      <c r="HAZ20" s="26"/>
      <c r="HBA20" s="26"/>
      <c r="HCP20" s="31"/>
      <c r="HCQ20" s="26"/>
      <c r="HCR20" s="26"/>
      <c r="HCS20" s="26"/>
      <c r="HEH20" s="31"/>
      <c r="HEI20" s="26"/>
      <c r="HEJ20" s="26"/>
      <c r="HEK20" s="26"/>
      <c r="HFZ20" s="31"/>
      <c r="HGA20" s="26"/>
      <c r="HGB20" s="26"/>
      <c r="HGC20" s="26"/>
      <c r="HHR20" s="31"/>
      <c r="HHS20" s="26"/>
      <c r="HHT20" s="26"/>
      <c r="HHU20" s="26"/>
      <c r="HJJ20" s="31"/>
      <c r="HJK20" s="26"/>
      <c r="HJL20" s="26"/>
      <c r="HJM20" s="26"/>
      <c r="HLB20" s="31"/>
      <c r="HLC20" s="26"/>
      <c r="HLD20" s="26"/>
      <c r="HLE20" s="26"/>
      <c r="HMT20" s="31"/>
      <c r="HMU20" s="26"/>
      <c r="HMV20" s="26"/>
      <c r="HMW20" s="26"/>
      <c r="HOL20" s="31"/>
      <c r="HOM20" s="26"/>
      <c r="HON20" s="26"/>
      <c r="HOO20" s="26"/>
      <c r="HQD20" s="31"/>
      <c r="HQE20" s="26"/>
      <c r="HQF20" s="26"/>
      <c r="HQG20" s="26"/>
      <c r="HRV20" s="31"/>
      <c r="HRW20" s="26"/>
      <c r="HRX20" s="26"/>
      <c r="HRY20" s="26"/>
      <c r="HTN20" s="31"/>
      <c r="HTO20" s="26"/>
      <c r="HTP20" s="26"/>
      <c r="HTQ20" s="26"/>
      <c r="HVF20" s="31"/>
      <c r="HVG20" s="26"/>
      <c r="HVH20" s="26"/>
      <c r="HVI20" s="26"/>
      <c r="HWX20" s="31"/>
      <c r="HWY20" s="26"/>
      <c r="HWZ20" s="26"/>
      <c r="HXA20" s="26"/>
      <c r="HYP20" s="31"/>
      <c r="HYQ20" s="26"/>
      <c r="HYR20" s="26"/>
      <c r="HYS20" s="26"/>
      <c r="IAH20" s="31"/>
      <c r="IAI20" s="26"/>
      <c r="IAJ20" s="26"/>
      <c r="IAK20" s="26"/>
      <c r="IBZ20" s="31"/>
      <c r="ICA20" s="26"/>
      <c r="ICB20" s="26"/>
      <c r="ICC20" s="26"/>
      <c r="IDR20" s="31"/>
      <c r="IDS20" s="26"/>
      <c r="IDT20" s="26"/>
      <c r="IDU20" s="26"/>
      <c r="IFJ20" s="31"/>
      <c r="IFK20" s="26"/>
      <c r="IFL20" s="26"/>
      <c r="IFM20" s="26"/>
      <c r="IHB20" s="31"/>
      <c r="IHC20" s="26"/>
      <c r="IHD20" s="26"/>
      <c r="IHE20" s="26"/>
      <c r="IIT20" s="31"/>
      <c r="IIU20" s="26"/>
      <c r="IIV20" s="26"/>
      <c r="IIW20" s="26"/>
      <c r="IKL20" s="31"/>
      <c r="IKM20" s="26"/>
      <c r="IKN20" s="26"/>
      <c r="IKO20" s="26"/>
      <c r="IMD20" s="31"/>
      <c r="IME20" s="26"/>
      <c r="IMF20" s="26"/>
      <c r="IMG20" s="26"/>
      <c r="INV20" s="31"/>
      <c r="INW20" s="26"/>
      <c r="INX20" s="26"/>
      <c r="INY20" s="26"/>
      <c r="IPN20" s="31"/>
      <c r="IPO20" s="26"/>
      <c r="IPP20" s="26"/>
      <c r="IPQ20" s="26"/>
      <c r="IRF20" s="31"/>
      <c r="IRG20" s="26"/>
      <c r="IRH20" s="26"/>
      <c r="IRI20" s="26"/>
      <c r="ISX20" s="31"/>
      <c r="ISY20" s="26"/>
      <c r="ISZ20" s="26"/>
      <c r="ITA20" s="26"/>
      <c r="IUP20" s="31"/>
      <c r="IUQ20" s="26"/>
      <c r="IUR20" s="26"/>
      <c r="IUS20" s="26"/>
      <c r="IWH20" s="31"/>
      <c r="IWI20" s="26"/>
      <c r="IWJ20" s="26"/>
      <c r="IWK20" s="26"/>
      <c r="IXZ20" s="31"/>
      <c r="IYA20" s="26"/>
      <c r="IYB20" s="26"/>
      <c r="IYC20" s="26"/>
      <c r="IZR20" s="31"/>
      <c r="IZS20" s="26"/>
      <c r="IZT20" s="26"/>
      <c r="IZU20" s="26"/>
      <c r="JBJ20" s="31"/>
      <c r="JBK20" s="26"/>
      <c r="JBL20" s="26"/>
      <c r="JBM20" s="26"/>
      <c r="JDB20" s="31"/>
      <c r="JDC20" s="26"/>
      <c r="JDD20" s="26"/>
      <c r="JDE20" s="26"/>
      <c r="JET20" s="31"/>
      <c r="JEU20" s="26"/>
      <c r="JEV20" s="26"/>
      <c r="JEW20" s="26"/>
      <c r="JGL20" s="31"/>
      <c r="JGM20" s="26"/>
      <c r="JGN20" s="26"/>
      <c r="JGO20" s="26"/>
      <c r="JID20" s="31"/>
      <c r="JIE20" s="26"/>
      <c r="JIF20" s="26"/>
      <c r="JIG20" s="26"/>
      <c r="JJV20" s="31"/>
      <c r="JJW20" s="26"/>
      <c r="JJX20" s="26"/>
      <c r="JJY20" s="26"/>
      <c r="JLN20" s="31"/>
      <c r="JLO20" s="26"/>
      <c r="JLP20" s="26"/>
      <c r="JLQ20" s="26"/>
      <c r="JNF20" s="31"/>
      <c r="JNG20" s="26"/>
      <c r="JNH20" s="26"/>
      <c r="JNI20" s="26"/>
      <c r="JOX20" s="31"/>
      <c r="JOY20" s="26"/>
      <c r="JOZ20" s="26"/>
      <c r="JPA20" s="26"/>
      <c r="JQP20" s="31"/>
      <c r="JQQ20" s="26"/>
      <c r="JQR20" s="26"/>
      <c r="JQS20" s="26"/>
      <c r="JSH20" s="31"/>
      <c r="JSI20" s="26"/>
      <c r="JSJ20" s="26"/>
      <c r="JSK20" s="26"/>
      <c r="JTZ20" s="31"/>
      <c r="JUA20" s="26"/>
      <c r="JUB20" s="26"/>
      <c r="JUC20" s="26"/>
      <c r="JVR20" s="31"/>
      <c r="JVS20" s="26"/>
      <c r="JVT20" s="26"/>
      <c r="JVU20" s="26"/>
      <c r="JXJ20" s="31"/>
      <c r="JXK20" s="26"/>
      <c r="JXL20" s="26"/>
      <c r="JXM20" s="26"/>
      <c r="JZB20" s="31"/>
      <c r="JZC20" s="26"/>
      <c r="JZD20" s="26"/>
      <c r="JZE20" s="26"/>
      <c r="KAT20" s="31"/>
      <c r="KAU20" s="26"/>
      <c r="KAV20" s="26"/>
      <c r="KAW20" s="26"/>
      <c r="KCL20" s="31"/>
      <c r="KCM20" s="26"/>
      <c r="KCN20" s="26"/>
      <c r="KCO20" s="26"/>
      <c r="KED20" s="31"/>
      <c r="KEE20" s="26"/>
      <c r="KEF20" s="26"/>
      <c r="KEG20" s="26"/>
      <c r="KFV20" s="31"/>
      <c r="KFW20" s="26"/>
      <c r="KFX20" s="26"/>
      <c r="KFY20" s="26"/>
      <c r="KHN20" s="31"/>
      <c r="KHO20" s="26"/>
      <c r="KHP20" s="26"/>
      <c r="KHQ20" s="26"/>
      <c r="KJF20" s="31"/>
      <c r="KJG20" s="26"/>
      <c r="KJH20" s="26"/>
      <c r="KJI20" s="26"/>
      <c r="KKX20" s="31"/>
      <c r="KKY20" s="26"/>
      <c r="KKZ20" s="26"/>
      <c r="KLA20" s="26"/>
      <c r="KMP20" s="31"/>
      <c r="KMQ20" s="26"/>
      <c r="KMR20" s="26"/>
      <c r="KMS20" s="26"/>
      <c r="KOH20" s="31"/>
      <c r="KOI20" s="26"/>
      <c r="KOJ20" s="26"/>
      <c r="KOK20" s="26"/>
      <c r="KPZ20" s="31"/>
      <c r="KQA20" s="26"/>
      <c r="KQB20" s="26"/>
      <c r="KQC20" s="26"/>
      <c r="KRR20" s="31"/>
      <c r="KRS20" s="26"/>
      <c r="KRT20" s="26"/>
      <c r="KRU20" s="26"/>
      <c r="KTJ20" s="31"/>
      <c r="KTK20" s="26"/>
      <c r="KTL20" s="26"/>
      <c r="KTM20" s="26"/>
      <c r="KVB20" s="31"/>
      <c r="KVC20" s="26"/>
      <c r="KVD20" s="26"/>
      <c r="KVE20" s="26"/>
      <c r="KWT20" s="31"/>
      <c r="KWU20" s="26"/>
      <c r="KWV20" s="26"/>
      <c r="KWW20" s="26"/>
      <c r="KYL20" s="31"/>
      <c r="KYM20" s="26"/>
      <c r="KYN20" s="26"/>
      <c r="KYO20" s="26"/>
      <c r="LAD20" s="31"/>
      <c r="LAE20" s="26"/>
      <c r="LAF20" s="26"/>
      <c r="LAG20" s="26"/>
      <c r="LBV20" s="31"/>
      <c r="LBW20" s="26"/>
      <c r="LBX20" s="26"/>
      <c r="LBY20" s="26"/>
      <c r="LDN20" s="31"/>
      <c r="LDO20" s="26"/>
      <c r="LDP20" s="26"/>
      <c r="LDQ20" s="26"/>
      <c r="LFF20" s="31"/>
      <c r="LFG20" s="26"/>
      <c r="LFH20" s="26"/>
      <c r="LFI20" s="26"/>
      <c r="LGX20" s="31"/>
      <c r="LGY20" s="26"/>
      <c r="LGZ20" s="26"/>
      <c r="LHA20" s="26"/>
      <c r="LIP20" s="31"/>
      <c r="LIQ20" s="26"/>
      <c r="LIR20" s="26"/>
      <c r="LIS20" s="26"/>
      <c r="LKH20" s="31"/>
      <c r="LKI20" s="26"/>
      <c r="LKJ20" s="26"/>
      <c r="LKK20" s="26"/>
      <c r="LLZ20" s="31"/>
      <c r="LMA20" s="26"/>
      <c r="LMB20" s="26"/>
      <c r="LMC20" s="26"/>
      <c r="LNR20" s="31"/>
      <c r="LNS20" s="26"/>
      <c r="LNT20" s="26"/>
      <c r="LNU20" s="26"/>
      <c r="LPJ20" s="31"/>
      <c r="LPK20" s="26"/>
      <c r="LPL20" s="26"/>
      <c r="LPM20" s="26"/>
      <c r="LRB20" s="31"/>
      <c r="LRC20" s="26"/>
      <c r="LRD20" s="26"/>
      <c r="LRE20" s="26"/>
      <c r="LST20" s="31"/>
      <c r="LSU20" s="26"/>
      <c r="LSV20" s="26"/>
      <c r="LSW20" s="26"/>
      <c r="LUL20" s="31"/>
      <c r="LUM20" s="26"/>
      <c r="LUN20" s="26"/>
      <c r="LUO20" s="26"/>
      <c r="LWD20" s="31"/>
      <c r="LWE20" s="26"/>
      <c r="LWF20" s="26"/>
      <c r="LWG20" s="26"/>
      <c r="LXV20" s="31"/>
      <c r="LXW20" s="26"/>
      <c r="LXX20" s="26"/>
      <c r="LXY20" s="26"/>
      <c r="LZN20" s="31"/>
      <c r="LZO20" s="26"/>
      <c r="LZP20" s="26"/>
      <c r="LZQ20" s="26"/>
      <c r="MBF20" s="31"/>
      <c r="MBG20" s="26"/>
      <c r="MBH20" s="26"/>
      <c r="MBI20" s="26"/>
      <c r="MCX20" s="31"/>
      <c r="MCY20" s="26"/>
      <c r="MCZ20" s="26"/>
      <c r="MDA20" s="26"/>
      <c r="MEP20" s="31"/>
      <c r="MEQ20" s="26"/>
      <c r="MER20" s="26"/>
      <c r="MES20" s="26"/>
      <c r="MGH20" s="31"/>
      <c r="MGI20" s="26"/>
      <c r="MGJ20" s="26"/>
      <c r="MGK20" s="26"/>
      <c r="MHZ20" s="31"/>
      <c r="MIA20" s="26"/>
      <c r="MIB20" s="26"/>
      <c r="MIC20" s="26"/>
      <c r="MJR20" s="31"/>
      <c r="MJS20" s="26"/>
      <c r="MJT20" s="26"/>
      <c r="MJU20" s="26"/>
      <c r="MLJ20" s="31"/>
      <c r="MLK20" s="26"/>
      <c r="MLL20" s="26"/>
      <c r="MLM20" s="26"/>
      <c r="MNB20" s="31"/>
      <c r="MNC20" s="26"/>
      <c r="MND20" s="26"/>
      <c r="MNE20" s="26"/>
      <c r="MOT20" s="31"/>
      <c r="MOU20" s="26"/>
      <c r="MOV20" s="26"/>
      <c r="MOW20" s="26"/>
      <c r="MQL20" s="31"/>
      <c r="MQM20" s="26"/>
      <c r="MQN20" s="26"/>
      <c r="MQO20" s="26"/>
      <c r="MSD20" s="31"/>
      <c r="MSE20" s="26"/>
      <c r="MSF20" s="26"/>
      <c r="MSG20" s="26"/>
      <c r="MTV20" s="31"/>
      <c r="MTW20" s="26"/>
      <c r="MTX20" s="26"/>
      <c r="MTY20" s="26"/>
      <c r="MVN20" s="31"/>
      <c r="MVO20" s="26"/>
      <c r="MVP20" s="26"/>
      <c r="MVQ20" s="26"/>
      <c r="MXF20" s="31"/>
      <c r="MXG20" s="26"/>
      <c r="MXH20" s="26"/>
      <c r="MXI20" s="26"/>
      <c r="MYX20" s="31"/>
      <c r="MYY20" s="26"/>
      <c r="MYZ20" s="26"/>
      <c r="MZA20" s="26"/>
      <c r="NAP20" s="31"/>
      <c r="NAQ20" s="26"/>
      <c r="NAR20" s="26"/>
      <c r="NAS20" s="26"/>
      <c r="NCH20" s="31"/>
      <c r="NCI20" s="26"/>
      <c r="NCJ20" s="26"/>
      <c r="NCK20" s="26"/>
      <c r="NDZ20" s="31"/>
      <c r="NEA20" s="26"/>
      <c r="NEB20" s="26"/>
      <c r="NEC20" s="26"/>
      <c r="NFR20" s="31"/>
      <c r="NFS20" s="26"/>
      <c r="NFT20" s="26"/>
      <c r="NFU20" s="26"/>
      <c r="NHJ20" s="31"/>
      <c r="NHK20" s="26"/>
      <c r="NHL20" s="26"/>
      <c r="NHM20" s="26"/>
      <c r="NJB20" s="31"/>
      <c r="NJC20" s="26"/>
      <c r="NJD20" s="26"/>
      <c r="NJE20" s="26"/>
      <c r="NKT20" s="31"/>
      <c r="NKU20" s="26"/>
      <c r="NKV20" s="26"/>
      <c r="NKW20" s="26"/>
      <c r="NML20" s="31"/>
      <c r="NMM20" s="26"/>
      <c r="NMN20" s="26"/>
      <c r="NMO20" s="26"/>
      <c r="NOD20" s="31"/>
      <c r="NOE20" s="26"/>
      <c r="NOF20" s="26"/>
      <c r="NOG20" s="26"/>
      <c r="NPV20" s="31"/>
      <c r="NPW20" s="26"/>
      <c r="NPX20" s="26"/>
      <c r="NPY20" s="26"/>
      <c r="NRN20" s="31"/>
      <c r="NRO20" s="26"/>
      <c r="NRP20" s="26"/>
      <c r="NRQ20" s="26"/>
      <c r="NTF20" s="31"/>
      <c r="NTG20" s="26"/>
      <c r="NTH20" s="26"/>
      <c r="NTI20" s="26"/>
      <c r="NUX20" s="31"/>
      <c r="NUY20" s="26"/>
      <c r="NUZ20" s="26"/>
      <c r="NVA20" s="26"/>
      <c r="NWP20" s="31"/>
      <c r="NWQ20" s="26"/>
      <c r="NWR20" s="26"/>
      <c r="NWS20" s="26"/>
      <c r="NYH20" s="31"/>
      <c r="NYI20" s="26"/>
      <c r="NYJ20" s="26"/>
      <c r="NYK20" s="26"/>
      <c r="NZZ20" s="31"/>
      <c r="OAA20" s="26"/>
      <c r="OAB20" s="26"/>
      <c r="OAC20" s="26"/>
      <c r="OBR20" s="31"/>
      <c r="OBS20" s="26"/>
      <c r="OBT20" s="26"/>
      <c r="OBU20" s="26"/>
      <c r="ODJ20" s="31"/>
      <c r="ODK20" s="26"/>
      <c r="ODL20" s="26"/>
      <c r="ODM20" s="26"/>
      <c r="OFB20" s="31"/>
      <c r="OFC20" s="26"/>
      <c r="OFD20" s="26"/>
      <c r="OFE20" s="26"/>
      <c r="OGT20" s="31"/>
      <c r="OGU20" s="26"/>
      <c r="OGV20" s="26"/>
      <c r="OGW20" s="26"/>
      <c r="OIL20" s="31"/>
      <c r="OIM20" s="26"/>
      <c r="OIN20" s="26"/>
      <c r="OIO20" s="26"/>
      <c r="OKD20" s="31"/>
      <c r="OKE20" s="26"/>
      <c r="OKF20" s="26"/>
      <c r="OKG20" s="26"/>
      <c r="OLV20" s="31"/>
      <c r="OLW20" s="26"/>
      <c r="OLX20" s="26"/>
      <c r="OLY20" s="26"/>
      <c r="ONN20" s="31"/>
      <c r="ONO20" s="26"/>
      <c r="ONP20" s="26"/>
      <c r="ONQ20" s="26"/>
      <c r="OPF20" s="31"/>
      <c r="OPG20" s="26"/>
      <c r="OPH20" s="26"/>
      <c r="OPI20" s="26"/>
      <c r="OQX20" s="31"/>
      <c r="OQY20" s="26"/>
      <c r="OQZ20" s="26"/>
      <c r="ORA20" s="26"/>
      <c r="OSP20" s="31"/>
      <c r="OSQ20" s="26"/>
      <c r="OSR20" s="26"/>
      <c r="OSS20" s="26"/>
      <c r="OUH20" s="31"/>
      <c r="OUI20" s="26"/>
      <c r="OUJ20" s="26"/>
      <c r="OUK20" s="26"/>
      <c r="OVZ20" s="31"/>
      <c r="OWA20" s="26"/>
      <c r="OWB20" s="26"/>
      <c r="OWC20" s="26"/>
      <c r="OXR20" s="31"/>
      <c r="OXS20" s="26"/>
      <c r="OXT20" s="26"/>
      <c r="OXU20" s="26"/>
      <c r="OZJ20" s="31"/>
      <c r="OZK20" s="26"/>
      <c r="OZL20" s="26"/>
      <c r="OZM20" s="26"/>
      <c r="PBB20" s="31"/>
      <c r="PBC20" s="26"/>
      <c r="PBD20" s="26"/>
      <c r="PBE20" s="26"/>
      <c r="PCT20" s="31"/>
      <c r="PCU20" s="26"/>
      <c r="PCV20" s="26"/>
      <c r="PCW20" s="26"/>
      <c r="PEL20" s="31"/>
      <c r="PEM20" s="26"/>
      <c r="PEN20" s="26"/>
      <c r="PEO20" s="26"/>
      <c r="PGD20" s="31"/>
      <c r="PGE20" s="26"/>
      <c r="PGF20" s="26"/>
      <c r="PGG20" s="26"/>
      <c r="PHV20" s="31"/>
      <c r="PHW20" s="26"/>
      <c r="PHX20" s="26"/>
      <c r="PHY20" s="26"/>
      <c r="PJN20" s="31"/>
      <c r="PJO20" s="26"/>
      <c r="PJP20" s="26"/>
      <c r="PJQ20" s="26"/>
      <c r="PLF20" s="31"/>
      <c r="PLG20" s="26"/>
      <c r="PLH20" s="26"/>
      <c r="PLI20" s="26"/>
      <c r="PMX20" s="31"/>
      <c r="PMY20" s="26"/>
      <c r="PMZ20" s="26"/>
      <c r="PNA20" s="26"/>
      <c r="POP20" s="31"/>
      <c r="POQ20" s="26"/>
      <c r="POR20" s="26"/>
      <c r="POS20" s="26"/>
      <c r="PQH20" s="31"/>
      <c r="PQI20" s="26"/>
      <c r="PQJ20" s="26"/>
      <c r="PQK20" s="26"/>
      <c r="PRZ20" s="31"/>
      <c r="PSA20" s="26"/>
      <c r="PSB20" s="26"/>
      <c r="PSC20" s="26"/>
      <c r="PTR20" s="31"/>
      <c r="PTS20" s="26"/>
      <c r="PTT20" s="26"/>
      <c r="PTU20" s="26"/>
      <c r="PVJ20" s="31"/>
      <c r="PVK20" s="26"/>
      <c r="PVL20" s="26"/>
      <c r="PVM20" s="26"/>
      <c r="PXB20" s="31"/>
      <c r="PXC20" s="26"/>
      <c r="PXD20" s="26"/>
      <c r="PXE20" s="26"/>
      <c r="PYT20" s="31"/>
      <c r="PYU20" s="26"/>
      <c r="PYV20" s="26"/>
      <c r="PYW20" s="26"/>
      <c r="QAL20" s="31"/>
      <c r="QAM20" s="26"/>
      <c r="QAN20" s="26"/>
      <c r="QAO20" s="26"/>
      <c r="QCD20" s="31"/>
      <c r="QCE20" s="26"/>
      <c r="QCF20" s="26"/>
      <c r="QCG20" s="26"/>
      <c r="QDV20" s="31"/>
      <c r="QDW20" s="26"/>
      <c r="QDX20" s="26"/>
      <c r="QDY20" s="26"/>
      <c r="QFN20" s="31"/>
      <c r="QFO20" s="26"/>
      <c r="QFP20" s="26"/>
      <c r="QFQ20" s="26"/>
      <c r="QHF20" s="31"/>
      <c r="QHG20" s="26"/>
      <c r="QHH20" s="26"/>
      <c r="QHI20" s="26"/>
      <c r="QIX20" s="31"/>
      <c r="QIY20" s="26"/>
      <c r="QIZ20" s="26"/>
      <c r="QJA20" s="26"/>
      <c r="QKP20" s="31"/>
      <c r="QKQ20" s="26"/>
      <c r="QKR20" s="26"/>
      <c r="QKS20" s="26"/>
      <c r="QMH20" s="31"/>
      <c r="QMI20" s="26"/>
      <c r="QMJ20" s="26"/>
      <c r="QMK20" s="26"/>
      <c r="QNZ20" s="31"/>
      <c r="QOA20" s="26"/>
      <c r="QOB20" s="26"/>
      <c r="QOC20" s="26"/>
      <c r="QPR20" s="31"/>
      <c r="QPS20" s="26"/>
      <c r="QPT20" s="26"/>
      <c r="QPU20" s="26"/>
      <c r="QRJ20" s="31"/>
      <c r="QRK20" s="26"/>
      <c r="QRL20" s="26"/>
      <c r="QRM20" s="26"/>
      <c r="QTB20" s="31"/>
      <c r="QTC20" s="26"/>
      <c r="QTD20" s="26"/>
      <c r="QTE20" s="26"/>
      <c r="QUT20" s="31"/>
      <c r="QUU20" s="26"/>
      <c r="QUV20" s="26"/>
      <c r="QUW20" s="26"/>
      <c r="QWL20" s="31"/>
      <c r="QWM20" s="26"/>
      <c r="QWN20" s="26"/>
      <c r="QWO20" s="26"/>
      <c r="QYD20" s="31"/>
      <c r="QYE20" s="26"/>
      <c r="QYF20" s="26"/>
      <c r="QYG20" s="26"/>
      <c r="QZV20" s="31"/>
      <c r="QZW20" s="26"/>
      <c r="QZX20" s="26"/>
      <c r="QZY20" s="26"/>
      <c r="RBN20" s="31"/>
      <c r="RBO20" s="26"/>
      <c r="RBP20" s="26"/>
      <c r="RBQ20" s="26"/>
      <c r="RDF20" s="31"/>
      <c r="RDG20" s="26"/>
      <c r="RDH20" s="26"/>
      <c r="RDI20" s="26"/>
      <c r="REX20" s="31"/>
      <c r="REY20" s="26"/>
      <c r="REZ20" s="26"/>
      <c r="RFA20" s="26"/>
      <c r="RGP20" s="31"/>
      <c r="RGQ20" s="26"/>
      <c r="RGR20" s="26"/>
      <c r="RGS20" s="26"/>
      <c r="RIH20" s="31"/>
      <c r="RII20" s="26"/>
      <c r="RIJ20" s="26"/>
      <c r="RIK20" s="26"/>
      <c r="RJZ20" s="31"/>
      <c r="RKA20" s="26"/>
      <c r="RKB20" s="26"/>
      <c r="RKC20" s="26"/>
      <c r="RLR20" s="31"/>
      <c r="RLS20" s="26"/>
      <c r="RLT20" s="26"/>
      <c r="RLU20" s="26"/>
      <c r="RNJ20" s="31"/>
      <c r="RNK20" s="26"/>
      <c r="RNL20" s="26"/>
      <c r="RNM20" s="26"/>
      <c r="RPB20" s="31"/>
      <c r="RPC20" s="26"/>
      <c r="RPD20" s="26"/>
      <c r="RPE20" s="26"/>
      <c r="RQT20" s="31"/>
      <c r="RQU20" s="26"/>
      <c r="RQV20" s="26"/>
      <c r="RQW20" s="26"/>
      <c r="RSL20" s="31"/>
      <c r="RSM20" s="26"/>
      <c r="RSN20" s="26"/>
      <c r="RSO20" s="26"/>
      <c r="RUD20" s="31"/>
      <c r="RUE20" s="26"/>
      <c r="RUF20" s="26"/>
      <c r="RUG20" s="26"/>
      <c r="RVV20" s="31"/>
      <c r="RVW20" s="26"/>
      <c r="RVX20" s="26"/>
      <c r="RVY20" s="26"/>
      <c r="RXN20" s="31"/>
      <c r="RXO20" s="26"/>
      <c r="RXP20" s="26"/>
      <c r="RXQ20" s="26"/>
      <c r="RZF20" s="31"/>
      <c r="RZG20" s="26"/>
      <c r="RZH20" s="26"/>
      <c r="RZI20" s="26"/>
      <c r="SAX20" s="31"/>
      <c r="SAY20" s="26"/>
      <c r="SAZ20" s="26"/>
      <c r="SBA20" s="26"/>
      <c r="SCP20" s="31"/>
      <c r="SCQ20" s="26"/>
      <c r="SCR20" s="26"/>
      <c r="SCS20" s="26"/>
      <c r="SEH20" s="31"/>
      <c r="SEI20" s="26"/>
      <c r="SEJ20" s="26"/>
      <c r="SEK20" s="26"/>
      <c r="SFZ20" s="31"/>
      <c r="SGA20" s="26"/>
      <c r="SGB20" s="26"/>
      <c r="SGC20" s="26"/>
      <c r="SHR20" s="31"/>
      <c r="SHS20" s="26"/>
      <c r="SHT20" s="26"/>
      <c r="SHU20" s="26"/>
      <c r="SJJ20" s="31"/>
      <c r="SJK20" s="26"/>
      <c r="SJL20" s="26"/>
      <c r="SJM20" s="26"/>
      <c r="SLB20" s="31"/>
      <c r="SLC20" s="26"/>
      <c r="SLD20" s="26"/>
      <c r="SLE20" s="26"/>
      <c r="SMT20" s="31"/>
      <c r="SMU20" s="26"/>
      <c r="SMV20" s="26"/>
      <c r="SMW20" s="26"/>
      <c r="SOL20" s="31"/>
      <c r="SOM20" s="26"/>
      <c r="SON20" s="26"/>
      <c r="SOO20" s="26"/>
      <c r="SQD20" s="31"/>
      <c r="SQE20" s="26"/>
      <c r="SQF20" s="26"/>
      <c r="SQG20" s="26"/>
      <c r="SRV20" s="31"/>
      <c r="SRW20" s="26"/>
      <c r="SRX20" s="26"/>
      <c r="SRY20" s="26"/>
      <c r="STN20" s="31"/>
      <c r="STO20" s="26"/>
      <c r="STP20" s="26"/>
      <c r="STQ20" s="26"/>
      <c r="SVF20" s="31"/>
      <c r="SVG20" s="26"/>
      <c r="SVH20" s="26"/>
      <c r="SVI20" s="26"/>
      <c r="SWX20" s="31"/>
      <c r="SWY20" s="26"/>
      <c r="SWZ20" s="26"/>
      <c r="SXA20" s="26"/>
      <c r="SYP20" s="31"/>
      <c r="SYQ20" s="26"/>
      <c r="SYR20" s="26"/>
      <c r="SYS20" s="26"/>
      <c r="TAH20" s="31"/>
      <c r="TAI20" s="26"/>
      <c r="TAJ20" s="26"/>
      <c r="TAK20" s="26"/>
      <c r="TBZ20" s="31"/>
      <c r="TCA20" s="26"/>
      <c r="TCB20" s="26"/>
      <c r="TCC20" s="26"/>
      <c r="TDR20" s="31"/>
      <c r="TDS20" s="26"/>
      <c r="TDT20" s="26"/>
      <c r="TDU20" s="26"/>
      <c r="TFJ20" s="31"/>
      <c r="TFK20" s="26"/>
      <c r="TFL20" s="26"/>
      <c r="TFM20" s="26"/>
      <c r="THB20" s="31"/>
      <c r="THC20" s="26"/>
      <c r="THD20" s="26"/>
      <c r="THE20" s="26"/>
      <c r="TIT20" s="31"/>
      <c r="TIU20" s="26"/>
      <c r="TIV20" s="26"/>
      <c r="TIW20" s="26"/>
      <c r="TKL20" s="31"/>
      <c r="TKM20" s="26"/>
      <c r="TKN20" s="26"/>
      <c r="TKO20" s="26"/>
      <c r="TMD20" s="31"/>
      <c r="TME20" s="26"/>
      <c r="TMF20" s="26"/>
      <c r="TMG20" s="26"/>
      <c r="TNV20" s="31"/>
      <c r="TNW20" s="26"/>
      <c r="TNX20" s="26"/>
      <c r="TNY20" s="26"/>
      <c r="TPN20" s="31"/>
      <c r="TPO20" s="26"/>
      <c r="TPP20" s="26"/>
      <c r="TPQ20" s="26"/>
      <c r="TRF20" s="31"/>
      <c r="TRG20" s="26"/>
      <c r="TRH20" s="26"/>
      <c r="TRI20" s="26"/>
      <c r="TSX20" s="31"/>
      <c r="TSY20" s="26"/>
      <c r="TSZ20" s="26"/>
      <c r="TTA20" s="26"/>
      <c r="TUP20" s="31"/>
      <c r="TUQ20" s="26"/>
      <c r="TUR20" s="26"/>
      <c r="TUS20" s="26"/>
      <c r="TWH20" s="31"/>
      <c r="TWI20" s="26"/>
      <c r="TWJ20" s="26"/>
      <c r="TWK20" s="26"/>
      <c r="TXZ20" s="31"/>
      <c r="TYA20" s="26"/>
      <c r="TYB20" s="26"/>
      <c r="TYC20" s="26"/>
      <c r="TZR20" s="31"/>
      <c r="TZS20" s="26"/>
      <c r="TZT20" s="26"/>
      <c r="TZU20" s="26"/>
      <c r="UBJ20" s="31"/>
      <c r="UBK20" s="26"/>
      <c r="UBL20" s="26"/>
      <c r="UBM20" s="26"/>
      <c r="UDB20" s="31"/>
      <c r="UDC20" s="26"/>
      <c r="UDD20" s="26"/>
      <c r="UDE20" s="26"/>
      <c r="UET20" s="31"/>
      <c r="UEU20" s="26"/>
      <c r="UEV20" s="26"/>
      <c r="UEW20" s="26"/>
      <c r="UGL20" s="31"/>
      <c r="UGM20" s="26"/>
      <c r="UGN20" s="26"/>
      <c r="UGO20" s="26"/>
      <c r="UID20" s="31"/>
      <c r="UIE20" s="26"/>
      <c r="UIF20" s="26"/>
      <c r="UIG20" s="26"/>
      <c r="UJV20" s="31"/>
      <c r="UJW20" s="26"/>
      <c r="UJX20" s="26"/>
      <c r="UJY20" s="26"/>
      <c r="ULN20" s="31"/>
      <c r="ULO20" s="26"/>
      <c r="ULP20" s="26"/>
      <c r="ULQ20" s="26"/>
      <c r="UNF20" s="31"/>
      <c r="UNG20" s="26"/>
      <c r="UNH20" s="26"/>
      <c r="UNI20" s="26"/>
      <c r="UOX20" s="31"/>
      <c r="UOY20" s="26"/>
      <c r="UOZ20" s="26"/>
      <c r="UPA20" s="26"/>
      <c r="UQP20" s="31"/>
      <c r="UQQ20" s="26"/>
      <c r="UQR20" s="26"/>
      <c r="UQS20" s="26"/>
      <c r="USH20" s="31"/>
      <c r="USI20" s="26"/>
      <c r="USJ20" s="26"/>
      <c r="USK20" s="26"/>
      <c r="UTZ20" s="31"/>
      <c r="UUA20" s="26"/>
      <c r="UUB20" s="26"/>
      <c r="UUC20" s="26"/>
      <c r="UVR20" s="31"/>
      <c r="UVS20" s="26"/>
      <c r="UVT20" s="26"/>
      <c r="UVU20" s="26"/>
      <c r="UXJ20" s="31"/>
      <c r="UXK20" s="26"/>
      <c r="UXL20" s="26"/>
      <c r="UXM20" s="26"/>
      <c r="UZB20" s="31"/>
      <c r="UZC20" s="26"/>
      <c r="UZD20" s="26"/>
      <c r="UZE20" s="26"/>
      <c r="VAT20" s="31"/>
      <c r="VAU20" s="26"/>
      <c r="VAV20" s="26"/>
      <c r="VAW20" s="26"/>
      <c r="VCL20" s="31"/>
      <c r="VCM20" s="26"/>
      <c r="VCN20" s="26"/>
      <c r="VCO20" s="26"/>
      <c r="VED20" s="31"/>
      <c r="VEE20" s="26"/>
      <c r="VEF20" s="26"/>
      <c r="VEG20" s="26"/>
      <c r="VFV20" s="31"/>
      <c r="VFW20" s="26"/>
      <c r="VFX20" s="26"/>
      <c r="VFY20" s="26"/>
      <c r="VHN20" s="31"/>
      <c r="VHO20" s="26"/>
      <c r="VHP20" s="26"/>
      <c r="VHQ20" s="26"/>
      <c r="VJF20" s="31"/>
      <c r="VJG20" s="26"/>
      <c r="VJH20" s="26"/>
      <c r="VJI20" s="26"/>
      <c r="VKX20" s="31"/>
      <c r="VKY20" s="26"/>
      <c r="VKZ20" s="26"/>
      <c r="VLA20" s="26"/>
      <c r="VMP20" s="31"/>
      <c r="VMQ20" s="26"/>
      <c r="VMR20" s="26"/>
      <c r="VMS20" s="26"/>
      <c r="VOH20" s="31"/>
      <c r="VOI20" s="26"/>
      <c r="VOJ20" s="26"/>
      <c r="VOK20" s="26"/>
      <c r="VPZ20" s="31"/>
      <c r="VQA20" s="26"/>
      <c r="VQB20" s="26"/>
      <c r="VQC20" s="26"/>
      <c r="VRR20" s="31"/>
      <c r="VRS20" s="26"/>
      <c r="VRT20" s="26"/>
      <c r="VRU20" s="26"/>
      <c r="VTJ20" s="31"/>
      <c r="VTK20" s="26"/>
      <c r="VTL20" s="26"/>
      <c r="VTM20" s="26"/>
      <c r="VVB20" s="31"/>
      <c r="VVC20" s="26"/>
      <c r="VVD20" s="26"/>
      <c r="VVE20" s="26"/>
      <c r="VWT20" s="31"/>
      <c r="VWU20" s="26"/>
      <c r="VWV20" s="26"/>
      <c r="VWW20" s="26"/>
      <c r="VYL20" s="31"/>
      <c r="VYM20" s="26"/>
      <c r="VYN20" s="26"/>
      <c r="VYO20" s="26"/>
      <c r="WAD20" s="31"/>
      <c r="WAE20" s="26"/>
      <c r="WAF20" s="26"/>
      <c r="WAG20" s="26"/>
      <c r="WBV20" s="31"/>
      <c r="WBW20" s="26"/>
      <c r="WBX20" s="26"/>
      <c r="WBY20" s="26"/>
      <c r="WDN20" s="31"/>
      <c r="WDO20" s="26"/>
      <c r="WDP20" s="26"/>
      <c r="WDQ20" s="26"/>
      <c r="WFF20" s="31"/>
      <c r="WFG20" s="26"/>
      <c r="WFH20" s="26"/>
      <c r="WFI20" s="26"/>
      <c r="WGX20" s="31"/>
      <c r="WGY20" s="26"/>
      <c r="WGZ20" s="26"/>
      <c r="WHA20" s="26"/>
      <c r="WIP20" s="31"/>
      <c r="WIQ20" s="26"/>
      <c r="WIR20" s="26"/>
      <c r="WIS20" s="26"/>
      <c r="WKH20" s="31"/>
      <c r="WKI20" s="26"/>
      <c r="WKJ20" s="26"/>
      <c r="WKK20" s="26"/>
      <c r="WLZ20" s="31"/>
      <c r="WMA20" s="26"/>
      <c r="WMB20" s="26"/>
      <c r="WMC20" s="26"/>
      <c r="WNR20" s="31"/>
      <c r="WNS20" s="26"/>
      <c r="WNT20" s="26"/>
      <c r="WNU20" s="26"/>
      <c r="WPJ20" s="31"/>
      <c r="WPK20" s="26"/>
      <c r="WPL20" s="26"/>
      <c r="WPM20" s="26"/>
      <c r="WRB20" s="31"/>
      <c r="WRC20" s="26"/>
      <c r="WRD20" s="26"/>
      <c r="WRE20" s="26"/>
      <c r="WST20" s="31"/>
      <c r="WSU20" s="26"/>
      <c r="WSV20" s="26"/>
      <c r="WSW20" s="26"/>
      <c r="WUL20" s="31"/>
      <c r="WUM20" s="26"/>
      <c r="WUN20" s="26"/>
      <c r="WUO20" s="26"/>
      <c r="WWD20" s="31"/>
      <c r="WWE20" s="26"/>
      <c r="WWF20" s="26"/>
      <c r="WWG20" s="26"/>
      <c r="WXV20" s="31"/>
      <c r="WXW20" s="26"/>
      <c r="WXX20" s="26"/>
      <c r="WXY20" s="26"/>
      <c r="WZN20" s="31"/>
      <c r="WZO20" s="26"/>
      <c r="WZP20" s="26"/>
      <c r="WZQ20" s="26"/>
      <c r="XBF20" s="31"/>
      <c r="XBG20" s="26"/>
      <c r="XBH20" s="26"/>
      <c r="XBI20" s="26"/>
      <c r="XCX20" s="31"/>
      <c r="XCY20" s="26"/>
      <c r="XCZ20" s="26"/>
      <c r="XDA20" s="26"/>
      <c r="XEP20" s="31"/>
      <c r="XEQ20" s="26"/>
      <c r="XER20" s="26"/>
      <c r="XES20" s="26"/>
    </row>
    <row r="21" spans="1:1017 1058:2029 2070:3041 3082:5109 5150:6121 6162:7133 7174:8189 8230:9201 9242:10213 10254:11225 11266:12281 12322:13293 13334:14305 14346:16373" ht="15.75" x14ac:dyDescent="0.25">
      <c r="A21" s="4" t="s">
        <v>294</v>
      </c>
      <c r="B21" s="304">
        <f>'Бюджет '!F16</f>
        <v>1330355898</v>
      </c>
      <c r="C21" s="52">
        <f t="shared" si="9"/>
        <v>1330355898</v>
      </c>
      <c r="D21" s="32"/>
      <c r="E21" s="32"/>
      <c r="F21" s="52">
        <f>F22*$B$21</f>
        <v>1330355898</v>
      </c>
      <c r="G21" s="52">
        <f t="shared" ref="G21:AS21" si="11">G22*$B$21</f>
        <v>0</v>
      </c>
      <c r="H21" s="52">
        <f t="shared" si="11"/>
        <v>0</v>
      </c>
      <c r="I21" s="52">
        <f t="shared" si="11"/>
        <v>0</v>
      </c>
      <c r="J21" s="52">
        <f t="shared" si="11"/>
        <v>0</v>
      </c>
      <c r="K21" s="52">
        <f t="shared" si="11"/>
        <v>0</v>
      </c>
      <c r="L21" s="52">
        <f t="shared" si="11"/>
        <v>0</v>
      </c>
      <c r="M21" s="52">
        <f t="shared" si="11"/>
        <v>0</v>
      </c>
      <c r="N21" s="52">
        <f t="shared" si="11"/>
        <v>0</v>
      </c>
      <c r="O21" s="52">
        <f t="shared" si="11"/>
        <v>0</v>
      </c>
      <c r="P21" s="52">
        <f t="shared" si="11"/>
        <v>0</v>
      </c>
      <c r="Q21" s="52">
        <f t="shared" si="11"/>
        <v>0</v>
      </c>
      <c r="R21" s="52">
        <f t="shared" si="11"/>
        <v>0</v>
      </c>
      <c r="S21" s="52">
        <f t="shared" si="11"/>
        <v>0</v>
      </c>
      <c r="T21" s="52">
        <f t="shared" si="11"/>
        <v>0</v>
      </c>
      <c r="U21" s="52">
        <f t="shared" si="11"/>
        <v>0</v>
      </c>
      <c r="V21" s="52">
        <f t="shared" si="11"/>
        <v>0</v>
      </c>
      <c r="W21" s="52">
        <f t="shared" si="11"/>
        <v>0</v>
      </c>
      <c r="X21" s="52">
        <f t="shared" si="11"/>
        <v>0</v>
      </c>
      <c r="Y21" s="52">
        <f t="shared" si="11"/>
        <v>0</v>
      </c>
      <c r="Z21" s="52">
        <f t="shared" si="11"/>
        <v>0</v>
      </c>
      <c r="AA21" s="52">
        <f t="shared" si="11"/>
        <v>0</v>
      </c>
      <c r="AB21" s="52">
        <f t="shared" si="11"/>
        <v>0</v>
      </c>
      <c r="AC21" s="52">
        <f t="shared" si="11"/>
        <v>0</v>
      </c>
      <c r="AD21" s="52">
        <f t="shared" si="11"/>
        <v>0</v>
      </c>
      <c r="AE21" s="52">
        <f t="shared" si="11"/>
        <v>0</v>
      </c>
      <c r="AF21" s="52">
        <f t="shared" si="11"/>
        <v>0</v>
      </c>
      <c r="AG21" s="52">
        <f t="shared" si="11"/>
        <v>0</v>
      </c>
      <c r="AH21" s="52">
        <f t="shared" si="11"/>
        <v>0</v>
      </c>
      <c r="AI21" s="52">
        <f t="shared" si="11"/>
        <v>0</v>
      </c>
      <c r="AJ21" s="52">
        <f t="shared" si="11"/>
        <v>0</v>
      </c>
      <c r="AK21" s="52">
        <f t="shared" si="11"/>
        <v>0</v>
      </c>
      <c r="AL21" s="52">
        <f t="shared" si="11"/>
        <v>0</v>
      </c>
      <c r="AM21" s="52">
        <f t="shared" si="11"/>
        <v>0</v>
      </c>
      <c r="AN21" s="52">
        <f t="shared" si="11"/>
        <v>0</v>
      </c>
      <c r="AO21" s="52">
        <f t="shared" si="11"/>
        <v>0</v>
      </c>
      <c r="AP21" s="52">
        <f t="shared" si="11"/>
        <v>0</v>
      </c>
      <c r="AQ21" s="52">
        <f t="shared" si="11"/>
        <v>0</v>
      </c>
      <c r="AR21" s="52">
        <f t="shared" si="11"/>
        <v>0</v>
      </c>
      <c r="AS21" s="52">
        <f t="shared" si="11"/>
        <v>0</v>
      </c>
    </row>
    <row r="22" spans="1:1017 1058:2029 2070:3041 3082:5109 5150:6121 6162:7133 7174:8189 8230:9201 9242:10213 10254:11225 11266:12281 12322:13293 13334:14305 14346:16373" s="57" customFormat="1" x14ac:dyDescent="0.2">
      <c r="A22" s="54" t="s">
        <v>81</v>
      </c>
      <c r="B22" s="54"/>
      <c r="C22" s="87">
        <f t="shared" si="9"/>
        <v>1</v>
      </c>
      <c r="D22" s="55"/>
      <c r="E22" s="55"/>
      <c r="F22" s="56">
        <v>1</v>
      </c>
      <c r="G22" s="56">
        <v>0</v>
      </c>
      <c r="H22" s="56"/>
      <c r="I22" s="56">
        <v>0</v>
      </c>
      <c r="J22" s="56">
        <v>0</v>
      </c>
      <c r="K22" s="56"/>
      <c r="L22" s="56"/>
      <c r="M22" s="56"/>
      <c r="N22" s="56"/>
      <c r="O22" s="56">
        <v>0</v>
      </c>
      <c r="P22" s="56"/>
      <c r="Q22" s="56">
        <v>0</v>
      </c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</row>
    <row r="23" spans="1:1017 1058:2029 2070:3041 3082:5109 5150:6121 6162:7133 7174:8189 8230:9201 9242:10213 10254:11225 11266:12281 12322:13293 13334:14305 14346:16373" s="30" customFormat="1" ht="15.75" x14ac:dyDescent="0.25">
      <c r="A23" s="50" t="s">
        <v>95</v>
      </c>
      <c r="B23" s="86">
        <f>B24+B25</f>
        <v>1934959525.273</v>
      </c>
      <c r="C23" s="77">
        <f t="shared" si="9"/>
        <v>1934959525.2729974</v>
      </c>
      <c r="D23" s="51"/>
      <c r="E23" s="51"/>
      <c r="F23" s="53">
        <f t="shared" ref="F23:I23" si="12">SUM(F24,F25)</f>
        <v>28452569.837000001</v>
      </c>
      <c r="G23" s="53">
        <f t="shared" si="12"/>
        <v>28452569.837000001</v>
      </c>
      <c r="H23" s="53">
        <f t="shared" si="12"/>
        <v>28452569.837000001</v>
      </c>
      <c r="I23" s="53">
        <f t="shared" si="12"/>
        <v>28452569.837000001</v>
      </c>
      <c r="J23" s="53">
        <f>SUM(J24,J25)</f>
        <v>28452569.837000001</v>
      </c>
      <c r="K23" s="53">
        <f t="shared" ref="K23:AS23" si="13">SUM(K24,K25)</f>
        <v>1138287569.8369999</v>
      </c>
      <c r="L23" s="53">
        <f t="shared" si="13"/>
        <v>28452569.837000001</v>
      </c>
      <c r="M23" s="53">
        <f t="shared" si="13"/>
        <v>28452569.837000001</v>
      </c>
      <c r="N23" s="53">
        <f t="shared" si="13"/>
        <v>28452569.837000001</v>
      </c>
      <c r="O23" s="53">
        <f t="shared" si="13"/>
        <v>28452569.837000001</v>
      </c>
      <c r="P23" s="53">
        <f t="shared" si="13"/>
        <v>28452569.837000001</v>
      </c>
      <c r="Q23" s="53">
        <f t="shared" si="13"/>
        <v>28452569.837000001</v>
      </c>
      <c r="R23" s="53">
        <f t="shared" si="13"/>
        <v>28452569.837000001</v>
      </c>
      <c r="S23" s="53">
        <f t="shared" si="13"/>
        <v>28452569.837000001</v>
      </c>
      <c r="T23" s="53">
        <f t="shared" si="13"/>
        <v>28452569.837000001</v>
      </c>
      <c r="U23" s="53">
        <f t="shared" si="13"/>
        <v>28452569.837000001</v>
      </c>
      <c r="V23" s="53">
        <f t="shared" si="13"/>
        <v>28452569.837000001</v>
      </c>
      <c r="W23" s="53">
        <f t="shared" si="13"/>
        <v>28452569.837000001</v>
      </c>
      <c r="X23" s="53">
        <f t="shared" si="13"/>
        <v>28452569.837000001</v>
      </c>
      <c r="Y23" s="53">
        <f t="shared" si="13"/>
        <v>28452569.837000001</v>
      </c>
      <c r="Z23" s="53">
        <f t="shared" si="13"/>
        <v>28452569.837000001</v>
      </c>
      <c r="AA23" s="288">
        <f t="shared" si="13"/>
        <v>28452569.837000001</v>
      </c>
      <c r="AB23" s="53">
        <f t="shared" si="13"/>
        <v>28452569.837000001</v>
      </c>
      <c r="AC23" s="53">
        <f t="shared" si="13"/>
        <v>28452569.837000001</v>
      </c>
      <c r="AD23" s="53">
        <f t="shared" si="13"/>
        <v>28452569.837000001</v>
      </c>
      <c r="AE23" s="53">
        <f t="shared" si="13"/>
        <v>28452569.837000001</v>
      </c>
      <c r="AF23" s="53">
        <f t="shared" si="13"/>
        <v>28452569.837000001</v>
      </c>
      <c r="AG23" s="53">
        <f t="shared" si="13"/>
        <v>28452569.837000001</v>
      </c>
      <c r="AH23" s="53">
        <f t="shared" si="13"/>
        <v>28452569.837000001</v>
      </c>
      <c r="AI23" s="53">
        <f t="shared" si="13"/>
        <v>0</v>
      </c>
      <c r="AJ23" s="53">
        <f t="shared" si="13"/>
        <v>0</v>
      </c>
      <c r="AK23" s="53">
        <f t="shared" si="13"/>
        <v>0</v>
      </c>
      <c r="AL23" s="53">
        <f t="shared" si="13"/>
        <v>0</v>
      </c>
      <c r="AM23" s="53">
        <f t="shared" si="13"/>
        <v>0</v>
      </c>
      <c r="AN23" s="53">
        <f t="shared" si="13"/>
        <v>0</v>
      </c>
      <c r="AO23" s="53">
        <f t="shared" si="13"/>
        <v>0</v>
      </c>
      <c r="AP23" s="53">
        <f t="shared" si="13"/>
        <v>0</v>
      </c>
      <c r="AQ23" s="53">
        <f t="shared" si="13"/>
        <v>0</v>
      </c>
      <c r="AR23" s="53">
        <f t="shared" si="13"/>
        <v>0</v>
      </c>
      <c r="AS23" s="53">
        <f t="shared" si="13"/>
        <v>0</v>
      </c>
      <c r="AT23" s="31"/>
      <c r="AU23" s="26"/>
      <c r="AV23" s="26"/>
      <c r="AW23" s="26"/>
      <c r="CL23" s="31"/>
      <c r="CM23" s="26"/>
      <c r="CN23" s="26"/>
      <c r="CO23" s="26"/>
      <c r="ED23" s="31"/>
      <c r="EE23" s="26"/>
      <c r="EF23" s="26"/>
      <c r="EG23" s="26"/>
      <c r="FV23" s="31"/>
      <c r="FW23" s="26"/>
      <c r="FX23" s="26"/>
      <c r="FY23" s="26"/>
      <c r="HN23" s="31"/>
      <c r="HO23" s="26"/>
      <c r="HP23" s="26"/>
      <c r="HQ23" s="26"/>
      <c r="JF23" s="31"/>
      <c r="JG23" s="26"/>
      <c r="JH23" s="26"/>
      <c r="JI23" s="26"/>
      <c r="KX23" s="31"/>
      <c r="KY23" s="26"/>
      <c r="KZ23" s="26"/>
      <c r="LA23" s="26"/>
      <c r="MP23" s="31"/>
      <c r="MQ23" s="26"/>
      <c r="MR23" s="26"/>
      <c r="MS23" s="26"/>
      <c r="OH23" s="31"/>
      <c r="OI23" s="26"/>
      <c r="OJ23" s="26"/>
      <c r="OK23" s="26"/>
      <c r="PZ23" s="31"/>
      <c r="QA23" s="26"/>
      <c r="QB23" s="26"/>
      <c r="QC23" s="26"/>
      <c r="RR23" s="31"/>
      <c r="RS23" s="26"/>
      <c r="RT23" s="26"/>
      <c r="RU23" s="26"/>
      <c r="TJ23" s="31"/>
      <c r="TK23" s="26"/>
      <c r="TL23" s="26"/>
      <c r="TM23" s="26"/>
      <c r="VB23" s="31"/>
      <c r="VC23" s="26"/>
      <c r="VD23" s="26"/>
      <c r="VE23" s="26"/>
      <c r="WT23" s="31"/>
      <c r="WU23" s="26"/>
      <c r="WV23" s="26"/>
      <c r="WW23" s="26"/>
      <c r="YL23" s="31"/>
      <c r="YM23" s="26"/>
      <c r="YN23" s="26"/>
      <c r="YO23" s="26"/>
      <c r="AAD23" s="31"/>
      <c r="AAE23" s="26"/>
      <c r="AAF23" s="26"/>
      <c r="AAG23" s="26"/>
      <c r="ABV23" s="31"/>
      <c r="ABW23" s="26"/>
      <c r="ABX23" s="26"/>
      <c r="ABY23" s="26"/>
      <c r="ADN23" s="31"/>
      <c r="ADO23" s="26"/>
      <c r="ADP23" s="26"/>
      <c r="ADQ23" s="26"/>
      <c r="AFF23" s="31"/>
      <c r="AFG23" s="26"/>
      <c r="AFH23" s="26"/>
      <c r="AFI23" s="26"/>
      <c r="AGX23" s="31"/>
      <c r="AGY23" s="26"/>
      <c r="AGZ23" s="26"/>
      <c r="AHA23" s="26"/>
      <c r="AIP23" s="31"/>
      <c r="AIQ23" s="26"/>
      <c r="AIR23" s="26"/>
      <c r="AIS23" s="26"/>
      <c r="AKH23" s="31"/>
      <c r="AKI23" s="26"/>
      <c r="AKJ23" s="26"/>
      <c r="AKK23" s="26"/>
      <c r="ALZ23" s="31"/>
      <c r="AMA23" s="26"/>
      <c r="AMB23" s="26"/>
      <c r="AMC23" s="26"/>
      <c r="ANR23" s="31"/>
      <c r="ANS23" s="26"/>
      <c r="ANT23" s="26"/>
      <c r="ANU23" s="26"/>
      <c r="APJ23" s="31"/>
      <c r="APK23" s="26"/>
      <c r="APL23" s="26"/>
      <c r="APM23" s="26"/>
      <c r="ARB23" s="31"/>
      <c r="ARC23" s="26"/>
      <c r="ARD23" s="26"/>
      <c r="ARE23" s="26"/>
      <c r="AST23" s="31"/>
      <c r="ASU23" s="26"/>
      <c r="ASV23" s="26"/>
      <c r="ASW23" s="26"/>
      <c r="AUL23" s="31"/>
      <c r="AUM23" s="26"/>
      <c r="AUN23" s="26"/>
      <c r="AUO23" s="26"/>
      <c r="AWD23" s="31"/>
      <c r="AWE23" s="26"/>
      <c r="AWF23" s="26"/>
      <c r="AWG23" s="26"/>
      <c r="AXV23" s="31"/>
      <c r="AXW23" s="26"/>
      <c r="AXX23" s="26"/>
      <c r="AXY23" s="26"/>
      <c r="AZN23" s="31"/>
      <c r="AZO23" s="26"/>
      <c r="AZP23" s="26"/>
      <c r="AZQ23" s="26"/>
      <c r="BBF23" s="31"/>
      <c r="BBG23" s="26"/>
      <c r="BBH23" s="26"/>
      <c r="BBI23" s="26"/>
      <c r="BCX23" s="31"/>
      <c r="BCY23" s="26"/>
      <c r="BCZ23" s="26"/>
      <c r="BDA23" s="26"/>
      <c r="BEP23" s="31"/>
      <c r="BEQ23" s="26"/>
      <c r="BER23" s="26"/>
      <c r="BES23" s="26"/>
      <c r="BGH23" s="31"/>
      <c r="BGI23" s="26"/>
      <c r="BGJ23" s="26"/>
      <c r="BGK23" s="26"/>
      <c r="BHZ23" s="31"/>
      <c r="BIA23" s="26"/>
      <c r="BIB23" s="26"/>
      <c r="BIC23" s="26"/>
      <c r="BJR23" s="31"/>
      <c r="BJS23" s="26"/>
      <c r="BJT23" s="26"/>
      <c r="BJU23" s="26"/>
      <c r="BLJ23" s="31"/>
      <c r="BLK23" s="26"/>
      <c r="BLL23" s="26"/>
      <c r="BLM23" s="26"/>
      <c r="BNB23" s="31"/>
      <c r="BNC23" s="26"/>
      <c r="BND23" s="26"/>
      <c r="BNE23" s="26"/>
      <c r="BOT23" s="31"/>
      <c r="BOU23" s="26"/>
      <c r="BOV23" s="26"/>
      <c r="BOW23" s="26"/>
      <c r="BQL23" s="31"/>
      <c r="BQM23" s="26"/>
      <c r="BQN23" s="26"/>
      <c r="BQO23" s="26"/>
      <c r="BSD23" s="31"/>
      <c r="BSE23" s="26"/>
      <c r="BSF23" s="26"/>
      <c r="BSG23" s="26"/>
      <c r="BTV23" s="31"/>
      <c r="BTW23" s="26"/>
      <c r="BTX23" s="26"/>
      <c r="BTY23" s="26"/>
      <c r="BVN23" s="31"/>
      <c r="BVO23" s="26"/>
      <c r="BVP23" s="26"/>
      <c r="BVQ23" s="26"/>
      <c r="BXF23" s="31"/>
      <c r="BXG23" s="26"/>
      <c r="BXH23" s="26"/>
      <c r="BXI23" s="26"/>
      <c r="BYX23" s="31"/>
      <c r="BYY23" s="26"/>
      <c r="BYZ23" s="26"/>
      <c r="BZA23" s="26"/>
      <c r="CAP23" s="31"/>
      <c r="CAQ23" s="26"/>
      <c r="CAR23" s="26"/>
      <c r="CAS23" s="26"/>
      <c r="CCH23" s="31"/>
      <c r="CCI23" s="26"/>
      <c r="CCJ23" s="26"/>
      <c r="CCK23" s="26"/>
      <c r="CDZ23" s="31"/>
      <c r="CEA23" s="26"/>
      <c r="CEB23" s="26"/>
      <c r="CEC23" s="26"/>
      <c r="CFR23" s="31"/>
      <c r="CFS23" s="26"/>
      <c r="CFT23" s="26"/>
      <c r="CFU23" s="26"/>
      <c r="CHJ23" s="31"/>
      <c r="CHK23" s="26"/>
      <c r="CHL23" s="26"/>
      <c r="CHM23" s="26"/>
      <c r="CJB23" s="31"/>
      <c r="CJC23" s="26"/>
      <c r="CJD23" s="26"/>
      <c r="CJE23" s="26"/>
      <c r="CKT23" s="31"/>
      <c r="CKU23" s="26"/>
      <c r="CKV23" s="26"/>
      <c r="CKW23" s="26"/>
      <c r="CML23" s="31"/>
      <c r="CMM23" s="26"/>
      <c r="CMN23" s="26"/>
      <c r="CMO23" s="26"/>
      <c r="COD23" s="31"/>
      <c r="COE23" s="26"/>
      <c r="COF23" s="26"/>
      <c r="COG23" s="26"/>
      <c r="CPV23" s="31"/>
      <c r="CPW23" s="26"/>
      <c r="CPX23" s="26"/>
      <c r="CPY23" s="26"/>
      <c r="CRN23" s="31"/>
      <c r="CRO23" s="26"/>
      <c r="CRP23" s="26"/>
      <c r="CRQ23" s="26"/>
      <c r="CTF23" s="31"/>
      <c r="CTG23" s="26"/>
      <c r="CTH23" s="26"/>
      <c r="CTI23" s="26"/>
      <c r="CUX23" s="31"/>
      <c r="CUY23" s="26"/>
      <c r="CUZ23" s="26"/>
      <c r="CVA23" s="26"/>
      <c r="CWP23" s="31"/>
      <c r="CWQ23" s="26"/>
      <c r="CWR23" s="26"/>
      <c r="CWS23" s="26"/>
      <c r="CYH23" s="31"/>
      <c r="CYI23" s="26"/>
      <c r="CYJ23" s="26"/>
      <c r="CYK23" s="26"/>
      <c r="CZZ23" s="31"/>
      <c r="DAA23" s="26"/>
      <c r="DAB23" s="26"/>
      <c r="DAC23" s="26"/>
      <c r="DBR23" s="31"/>
      <c r="DBS23" s="26"/>
      <c r="DBT23" s="26"/>
      <c r="DBU23" s="26"/>
      <c r="DDJ23" s="31"/>
      <c r="DDK23" s="26"/>
      <c r="DDL23" s="26"/>
      <c r="DDM23" s="26"/>
      <c r="DFB23" s="31"/>
      <c r="DFC23" s="26"/>
      <c r="DFD23" s="26"/>
      <c r="DFE23" s="26"/>
      <c r="DGT23" s="31"/>
      <c r="DGU23" s="26"/>
      <c r="DGV23" s="26"/>
      <c r="DGW23" s="26"/>
      <c r="DIL23" s="31"/>
      <c r="DIM23" s="26"/>
      <c r="DIN23" s="26"/>
      <c r="DIO23" s="26"/>
      <c r="DKD23" s="31"/>
      <c r="DKE23" s="26"/>
      <c r="DKF23" s="26"/>
      <c r="DKG23" s="26"/>
      <c r="DLV23" s="31"/>
      <c r="DLW23" s="26"/>
      <c r="DLX23" s="26"/>
      <c r="DLY23" s="26"/>
      <c r="DNN23" s="31"/>
      <c r="DNO23" s="26"/>
      <c r="DNP23" s="26"/>
      <c r="DNQ23" s="26"/>
      <c r="DPF23" s="31"/>
      <c r="DPG23" s="26"/>
      <c r="DPH23" s="26"/>
      <c r="DPI23" s="26"/>
      <c r="DQX23" s="31"/>
      <c r="DQY23" s="26"/>
      <c r="DQZ23" s="26"/>
      <c r="DRA23" s="26"/>
      <c r="DSP23" s="31"/>
      <c r="DSQ23" s="26"/>
      <c r="DSR23" s="26"/>
      <c r="DSS23" s="26"/>
      <c r="DUH23" s="31"/>
      <c r="DUI23" s="26"/>
      <c r="DUJ23" s="26"/>
      <c r="DUK23" s="26"/>
      <c r="DVZ23" s="31"/>
      <c r="DWA23" s="26"/>
      <c r="DWB23" s="26"/>
      <c r="DWC23" s="26"/>
      <c r="DXR23" s="31"/>
      <c r="DXS23" s="26"/>
      <c r="DXT23" s="26"/>
      <c r="DXU23" s="26"/>
      <c r="DZJ23" s="31"/>
      <c r="DZK23" s="26"/>
      <c r="DZL23" s="26"/>
      <c r="DZM23" s="26"/>
      <c r="EBB23" s="31"/>
      <c r="EBC23" s="26"/>
      <c r="EBD23" s="26"/>
      <c r="EBE23" s="26"/>
      <c r="ECT23" s="31"/>
      <c r="ECU23" s="26"/>
      <c r="ECV23" s="26"/>
      <c r="ECW23" s="26"/>
      <c r="EEL23" s="31"/>
      <c r="EEM23" s="26"/>
      <c r="EEN23" s="26"/>
      <c r="EEO23" s="26"/>
      <c r="EGD23" s="31"/>
      <c r="EGE23" s="26"/>
      <c r="EGF23" s="26"/>
      <c r="EGG23" s="26"/>
      <c r="EHV23" s="31"/>
      <c r="EHW23" s="26"/>
      <c r="EHX23" s="26"/>
      <c r="EHY23" s="26"/>
      <c r="EJN23" s="31"/>
      <c r="EJO23" s="26"/>
      <c r="EJP23" s="26"/>
      <c r="EJQ23" s="26"/>
      <c r="ELF23" s="31"/>
      <c r="ELG23" s="26"/>
      <c r="ELH23" s="26"/>
      <c r="ELI23" s="26"/>
      <c r="EMX23" s="31"/>
      <c r="EMY23" s="26"/>
      <c r="EMZ23" s="26"/>
      <c r="ENA23" s="26"/>
      <c r="EOP23" s="31"/>
      <c r="EOQ23" s="26"/>
      <c r="EOR23" s="26"/>
      <c r="EOS23" s="26"/>
      <c r="EQH23" s="31"/>
      <c r="EQI23" s="26"/>
      <c r="EQJ23" s="26"/>
      <c r="EQK23" s="26"/>
      <c r="ERZ23" s="31"/>
      <c r="ESA23" s="26"/>
      <c r="ESB23" s="26"/>
      <c r="ESC23" s="26"/>
      <c r="ETR23" s="31"/>
      <c r="ETS23" s="26"/>
      <c r="ETT23" s="26"/>
      <c r="ETU23" s="26"/>
      <c r="EVJ23" s="31"/>
      <c r="EVK23" s="26"/>
      <c r="EVL23" s="26"/>
      <c r="EVM23" s="26"/>
      <c r="EXB23" s="31"/>
      <c r="EXC23" s="26"/>
      <c r="EXD23" s="26"/>
      <c r="EXE23" s="26"/>
      <c r="EYT23" s="31"/>
      <c r="EYU23" s="26"/>
      <c r="EYV23" s="26"/>
      <c r="EYW23" s="26"/>
      <c r="FAL23" s="31"/>
      <c r="FAM23" s="26"/>
      <c r="FAN23" s="26"/>
      <c r="FAO23" s="26"/>
      <c r="FCD23" s="31"/>
      <c r="FCE23" s="26"/>
      <c r="FCF23" s="26"/>
      <c r="FCG23" s="26"/>
      <c r="FDV23" s="31"/>
      <c r="FDW23" s="26"/>
      <c r="FDX23" s="26"/>
      <c r="FDY23" s="26"/>
      <c r="FFN23" s="31"/>
      <c r="FFO23" s="26"/>
      <c r="FFP23" s="26"/>
      <c r="FFQ23" s="26"/>
      <c r="FHF23" s="31"/>
      <c r="FHG23" s="26"/>
      <c r="FHH23" s="26"/>
      <c r="FHI23" s="26"/>
      <c r="FIX23" s="31"/>
      <c r="FIY23" s="26"/>
      <c r="FIZ23" s="26"/>
      <c r="FJA23" s="26"/>
      <c r="FKP23" s="31"/>
      <c r="FKQ23" s="26"/>
      <c r="FKR23" s="26"/>
      <c r="FKS23" s="26"/>
      <c r="FMH23" s="31"/>
      <c r="FMI23" s="26"/>
      <c r="FMJ23" s="26"/>
      <c r="FMK23" s="26"/>
      <c r="FNZ23" s="31"/>
      <c r="FOA23" s="26"/>
      <c r="FOB23" s="26"/>
      <c r="FOC23" s="26"/>
      <c r="FPR23" s="31"/>
      <c r="FPS23" s="26"/>
      <c r="FPT23" s="26"/>
      <c r="FPU23" s="26"/>
      <c r="FRJ23" s="31"/>
      <c r="FRK23" s="26"/>
      <c r="FRL23" s="26"/>
      <c r="FRM23" s="26"/>
      <c r="FTB23" s="31"/>
      <c r="FTC23" s="26"/>
      <c r="FTD23" s="26"/>
      <c r="FTE23" s="26"/>
      <c r="FUT23" s="31"/>
      <c r="FUU23" s="26"/>
      <c r="FUV23" s="26"/>
      <c r="FUW23" s="26"/>
      <c r="FWL23" s="31"/>
      <c r="FWM23" s="26"/>
      <c r="FWN23" s="26"/>
      <c r="FWO23" s="26"/>
      <c r="FYD23" s="31"/>
      <c r="FYE23" s="26"/>
      <c r="FYF23" s="26"/>
      <c r="FYG23" s="26"/>
      <c r="FZV23" s="31"/>
      <c r="FZW23" s="26"/>
      <c r="FZX23" s="26"/>
      <c r="FZY23" s="26"/>
      <c r="GBN23" s="31"/>
      <c r="GBO23" s="26"/>
      <c r="GBP23" s="26"/>
      <c r="GBQ23" s="26"/>
      <c r="GDF23" s="31"/>
      <c r="GDG23" s="26"/>
      <c r="GDH23" s="26"/>
      <c r="GDI23" s="26"/>
      <c r="GEX23" s="31"/>
      <c r="GEY23" s="26"/>
      <c r="GEZ23" s="26"/>
      <c r="GFA23" s="26"/>
      <c r="GGP23" s="31"/>
      <c r="GGQ23" s="26"/>
      <c r="GGR23" s="26"/>
      <c r="GGS23" s="26"/>
      <c r="GIH23" s="31"/>
      <c r="GII23" s="26"/>
      <c r="GIJ23" s="26"/>
      <c r="GIK23" s="26"/>
      <c r="GJZ23" s="31"/>
      <c r="GKA23" s="26"/>
      <c r="GKB23" s="26"/>
      <c r="GKC23" s="26"/>
      <c r="GLR23" s="31"/>
      <c r="GLS23" s="26"/>
      <c r="GLT23" s="26"/>
      <c r="GLU23" s="26"/>
      <c r="GNJ23" s="31"/>
      <c r="GNK23" s="26"/>
      <c r="GNL23" s="26"/>
      <c r="GNM23" s="26"/>
      <c r="GPB23" s="31"/>
      <c r="GPC23" s="26"/>
      <c r="GPD23" s="26"/>
      <c r="GPE23" s="26"/>
      <c r="GQT23" s="31"/>
      <c r="GQU23" s="26"/>
      <c r="GQV23" s="26"/>
      <c r="GQW23" s="26"/>
      <c r="GSL23" s="31"/>
      <c r="GSM23" s="26"/>
      <c r="GSN23" s="26"/>
      <c r="GSO23" s="26"/>
      <c r="GUD23" s="31"/>
      <c r="GUE23" s="26"/>
      <c r="GUF23" s="26"/>
      <c r="GUG23" s="26"/>
      <c r="GVV23" s="31"/>
      <c r="GVW23" s="26"/>
      <c r="GVX23" s="26"/>
      <c r="GVY23" s="26"/>
      <c r="GXN23" s="31"/>
      <c r="GXO23" s="26"/>
      <c r="GXP23" s="26"/>
      <c r="GXQ23" s="26"/>
      <c r="GZF23" s="31"/>
      <c r="GZG23" s="26"/>
      <c r="GZH23" s="26"/>
      <c r="GZI23" s="26"/>
      <c r="HAX23" s="31"/>
      <c r="HAY23" s="26"/>
      <c r="HAZ23" s="26"/>
      <c r="HBA23" s="26"/>
      <c r="HCP23" s="31"/>
      <c r="HCQ23" s="26"/>
      <c r="HCR23" s="26"/>
      <c r="HCS23" s="26"/>
      <c r="HEH23" s="31"/>
      <c r="HEI23" s="26"/>
      <c r="HEJ23" s="26"/>
      <c r="HEK23" s="26"/>
      <c r="HFZ23" s="31"/>
      <c r="HGA23" s="26"/>
      <c r="HGB23" s="26"/>
      <c r="HGC23" s="26"/>
      <c r="HHR23" s="31"/>
      <c r="HHS23" s="26"/>
      <c r="HHT23" s="26"/>
      <c r="HHU23" s="26"/>
      <c r="HJJ23" s="31"/>
      <c r="HJK23" s="26"/>
      <c r="HJL23" s="26"/>
      <c r="HJM23" s="26"/>
      <c r="HLB23" s="31"/>
      <c r="HLC23" s="26"/>
      <c r="HLD23" s="26"/>
      <c r="HLE23" s="26"/>
      <c r="HMT23" s="31"/>
      <c r="HMU23" s="26"/>
      <c r="HMV23" s="26"/>
      <c r="HMW23" s="26"/>
      <c r="HOL23" s="31"/>
      <c r="HOM23" s="26"/>
      <c r="HON23" s="26"/>
      <c r="HOO23" s="26"/>
      <c r="HQD23" s="31"/>
      <c r="HQE23" s="26"/>
      <c r="HQF23" s="26"/>
      <c r="HQG23" s="26"/>
      <c r="HRV23" s="31"/>
      <c r="HRW23" s="26"/>
      <c r="HRX23" s="26"/>
      <c r="HRY23" s="26"/>
      <c r="HTN23" s="31"/>
      <c r="HTO23" s="26"/>
      <c r="HTP23" s="26"/>
      <c r="HTQ23" s="26"/>
      <c r="HVF23" s="31"/>
      <c r="HVG23" s="26"/>
      <c r="HVH23" s="26"/>
      <c r="HVI23" s="26"/>
      <c r="HWX23" s="31"/>
      <c r="HWY23" s="26"/>
      <c r="HWZ23" s="26"/>
      <c r="HXA23" s="26"/>
      <c r="HYP23" s="31"/>
      <c r="HYQ23" s="26"/>
      <c r="HYR23" s="26"/>
      <c r="HYS23" s="26"/>
      <c r="IAH23" s="31"/>
      <c r="IAI23" s="26"/>
      <c r="IAJ23" s="26"/>
      <c r="IAK23" s="26"/>
      <c r="IBZ23" s="31"/>
      <c r="ICA23" s="26"/>
      <c r="ICB23" s="26"/>
      <c r="ICC23" s="26"/>
      <c r="IDR23" s="31"/>
      <c r="IDS23" s="26"/>
      <c r="IDT23" s="26"/>
      <c r="IDU23" s="26"/>
      <c r="IFJ23" s="31"/>
      <c r="IFK23" s="26"/>
      <c r="IFL23" s="26"/>
      <c r="IFM23" s="26"/>
      <c r="IHB23" s="31"/>
      <c r="IHC23" s="26"/>
      <c r="IHD23" s="26"/>
      <c r="IHE23" s="26"/>
      <c r="IIT23" s="31"/>
      <c r="IIU23" s="26"/>
      <c r="IIV23" s="26"/>
      <c r="IIW23" s="26"/>
      <c r="IKL23" s="31"/>
      <c r="IKM23" s="26"/>
      <c r="IKN23" s="26"/>
      <c r="IKO23" s="26"/>
      <c r="IMD23" s="31"/>
      <c r="IME23" s="26"/>
      <c r="IMF23" s="26"/>
      <c r="IMG23" s="26"/>
      <c r="INV23" s="31"/>
      <c r="INW23" s="26"/>
      <c r="INX23" s="26"/>
      <c r="INY23" s="26"/>
      <c r="IPN23" s="31"/>
      <c r="IPO23" s="26"/>
      <c r="IPP23" s="26"/>
      <c r="IPQ23" s="26"/>
      <c r="IRF23" s="31"/>
      <c r="IRG23" s="26"/>
      <c r="IRH23" s="26"/>
      <c r="IRI23" s="26"/>
      <c r="ISX23" s="31"/>
      <c r="ISY23" s="26"/>
      <c r="ISZ23" s="26"/>
      <c r="ITA23" s="26"/>
      <c r="IUP23" s="31"/>
      <c r="IUQ23" s="26"/>
      <c r="IUR23" s="26"/>
      <c r="IUS23" s="26"/>
      <c r="IWH23" s="31"/>
      <c r="IWI23" s="26"/>
      <c r="IWJ23" s="26"/>
      <c r="IWK23" s="26"/>
      <c r="IXZ23" s="31"/>
      <c r="IYA23" s="26"/>
      <c r="IYB23" s="26"/>
      <c r="IYC23" s="26"/>
      <c r="IZR23" s="31"/>
      <c r="IZS23" s="26"/>
      <c r="IZT23" s="26"/>
      <c r="IZU23" s="26"/>
      <c r="JBJ23" s="31"/>
      <c r="JBK23" s="26"/>
      <c r="JBL23" s="26"/>
      <c r="JBM23" s="26"/>
      <c r="JDB23" s="31"/>
      <c r="JDC23" s="26"/>
      <c r="JDD23" s="26"/>
      <c r="JDE23" s="26"/>
      <c r="JET23" s="31"/>
      <c r="JEU23" s="26"/>
      <c r="JEV23" s="26"/>
      <c r="JEW23" s="26"/>
      <c r="JGL23" s="31"/>
      <c r="JGM23" s="26"/>
      <c r="JGN23" s="26"/>
      <c r="JGO23" s="26"/>
      <c r="JID23" s="31"/>
      <c r="JIE23" s="26"/>
      <c r="JIF23" s="26"/>
      <c r="JIG23" s="26"/>
      <c r="JJV23" s="31"/>
      <c r="JJW23" s="26"/>
      <c r="JJX23" s="26"/>
      <c r="JJY23" s="26"/>
      <c r="JLN23" s="31"/>
      <c r="JLO23" s="26"/>
      <c r="JLP23" s="26"/>
      <c r="JLQ23" s="26"/>
      <c r="JNF23" s="31"/>
      <c r="JNG23" s="26"/>
      <c r="JNH23" s="26"/>
      <c r="JNI23" s="26"/>
      <c r="JOX23" s="31"/>
      <c r="JOY23" s="26"/>
      <c r="JOZ23" s="26"/>
      <c r="JPA23" s="26"/>
      <c r="JQP23" s="31"/>
      <c r="JQQ23" s="26"/>
      <c r="JQR23" s="26"/>
      <c r="JQS23" s="26"/>
      <c r="JSH23" s="31"/>
      <c r="JSI23" s="26"/>
      <c r="JSJ23" s="26"/>
      <c r="JSK23" s="26"/>
      <c r="JTZ23" s="31"/>
      <c r="JUA23" s="26"/>
      <c r="JUB23" s="26"/>
      <c r="JUC23" s="26"/>
      <c r="JVR23" s="31"/>
      <c r="JVS23" s="26"/>
      <c r="JVT23" s="26"/>
      <c r="JVU23" s="26"/>
      <c r="JXJ23" s="31"/>
      <c r="JXK23" s="26"/>
      <c r="JXL23" s="26"/>
      <c r="JXM23" s="26"/>
      <c r="JZB23" s="31"/>
      <c r="JZC23" s="26"/>
      <c r="JZD23" s="26"/>
      <c r="JZE23" s="26"/>
      <c r="KAT23" s="31"/>
      <c r="KAU23" s="26"/>
      <c r="KAV23" s="26"/>
      <c r="KAW23" s="26"/>
      <c r="KCL23" s="31"/>
      <c r="KCM23" s="26"/>
      <c r="KCN23" s="26"/>
      <c r="KCO23" s="26"/>
      <c r="KED23" s="31"/>
      <c r="KEE23" s="26"/>
      <c r="KEF23" s="26"/>
      <c r="KEG23" s="26"/>
      <c r="KFV23" s="31"/>
      <c r="KFW23" s="26"/>
      <c r="KFX23" s="26"/>
      <c r="KFY23" s="26"/>
      <c r="KHN23" s="31"/>
      <c r="KHO23" s="26"/>
      <c r="KHP23" s="26"/>
      <c r="KHQ23" s="26"/>
      <c r="KJF23" s="31"/>
      <c r="KJG23" s="26"/>
      <c r="KJH23" s="26"/>
      <c r="KJI23" s="26"/>
      <c r="KKX23" s="31"/>
      <c r="KKY23" s="26"/>
      <c r="KKZ23" s="26"/>
      <c r="KLA23" s="26"/>
      <c r="KMP23" s="31"/>
      <c r="KMQ23" s="26"/>
      <c r="KMR23" s="26"/>
      <c r="KMS23" s="26"/>
      <c r="KOH23" s="31"/>
      <c r="KOI23" s="26"/>
      <c r="KOJ23" s="26"/>
      <c r="KOK23" s="26"/>
      <c r="KPZ23" s="31"/>
      <c r="KQA23" s="26"/>
      <c r="KQB23" s="26"/>
      <c r="KQC23" s="26"/>
      <c r="KRR23" s="31"/>
      <c r="KRS23" s="26"/>
      <c r="KRT23" s="26"/>
      <c r="KRU23" s="26"/>
      <c r="KTJ23" s="31"/>
      <c r="KTK23" s="26"/>
      <c r="KTL23" s="26"/>
      <c r="KTM23" s="26"/>
      <c r="KVB23" s="31"/>
      <c r="KVC23" s="26"/>
      <c r="KVD23" s="26"/>
      <c r="KVE23" s="26"/>
      <c r="KWT23" s="31"/>
      <c r="KWU23" s="26"/>
      <c r="KWV23" s="26"/>
      <c r="KWW23" s="26"/>
      <c r="KYL23" s="31"/>
      <c r="KYM23" s="26"/>
      <c r="KYN23" s="26"/>
      <c r="KYO23" s="26"/>
      <c r="LAD23" s="31"/>
      <c r="LAE23" s="26"/>
      <c r="LAF23" s="26"/>
      <c r="LAG23" s="26"/>
      <c r="LBV23" s="31"/>
      <c r="LBW23" s="26"/>
      <c r="LBX23" s="26"/>
      <c r="LBY23" s="26"/>
      <c r="LDN23" s="31"/>
      <c r="LDO23" s="26"/>
      <c r="LDP23" s="26"/>
      <c r="LDQ23" s="26"/>
      <c r="LFF23" s="31"/>
      <c r="LFG23" s="26"/>
      <c r="LFH23" s="26"/>
      <c r="LFI23" s="26"/>
      <c r="LGX23" s="31"/>
      <c r="LGY23" s="26"/>
      <c r="LGZ23" s="26"/>
      <c r="LHA23" s="26"/>
      <c r="LIP23" s="31"/>
      <c r="LIQ23" s="26"/>
      <c r="LIR23" s="26"/>
      <c r="LIS23" s="26"/>
      <c r="LKH23" s="31"/>
      <c r="LKI23" s="26"/>
      <c r="LKJ23" s="26"/>
      <c r="LKK23" s="26"/>
      <c r="LLZ23" s="31"/>
      <c r="LMA23" s="26"/>
      <c r="LMB23" s="26"/>
      <c r="LMC23" s="26"/>
      <c r="LNR23" s="31"/>
      <c r="LNS23" s="26"/>
      <c r="LNT23" s="26"/>
      <c r="LNU23" s="26"/>
      <c r="LPJ23" s="31"/>
      <c r="LPK23" s="26"/>
      <c r="LPL23" s="26"/>
      <c r="LPM23" s="26"/>
      <c r="LRB23" s="31"/>
      <c r="LRC23" s="26"/>
      <c r="LRD23" s="26"/>
      <c r="LRE23" s="26"/>
      <c r="LST23" s="31"/>
      <c r="LSU23" s="26"/>
      <c r="LSV23" s="26"/>
      <c r="LSW23" s="26"/>
      <c r="LUL23" s="31"/>
      <c r="LUM23" s="26"/>
      <c r="LUN23" s="26"/>
      <c r="LUO23" s="26"/>
      <c r="LWD23" s="31"/>
      <c r="LWE23" s="26"/>
      <c r="LWF23" s="26"/>
      <c r="LWG23" s="26"/>
      <c r="LXV23" s="31"/>
      <c r="LXW23" s="26"/>
      <c r="LXX23" s="26"/>
      <c r="LXY23" s="26"/>
      <c r="LZN23" s="31"/>
      <c r="LZO23" s="26"/>
      <c r="LZP23" s="26"/>
      <c r="LZQ23" s="26"/>
      <c r="MBF23" s="31"/>
      <c r="MBG23" s="26"/>
      <c r="MBH23" s="26"/>
      <c r="MBI23" s="26"/>
      <c r="MCX23" s="31"/>
      <c r="MCY23" s="26"/>
      <c r="MCZ23" s="26"/>
      <c r="MDA23" s="26"/>
      <c r="MEP23" s="31"/>
      <c r="MEQ23" s="26"/>
      <c r="MER23" s="26"/>
      <c r="MES23" s="26"/>
      <c r="MGH23" s="31"/>
      <c r="MGI23" s="26"/>
      <c r="MGJ23" s="26"/>
      <c r="MGK23" s="26"/>
      <c r="MHZ23" s="31"/>
      <c r="MIA23" s="26"/>
      <c r="MIB23" s="26"/>
      <c r="MIC23" s="26"/>
      <c r="MJR23" s="31"/>
      <c r="MJS23" s="26"/>
      <c r="MJT23" s="26"/>
      <c r="MJU23" s="26"/>
      <c r="MLJ23" s="31"/>
      <c r="MLK23" s="26"/>
      <c r="MLL23" s="26"/>
      <c r="MLM23" s="26"/>
      <c r="MNB23" s="31"/>
      <c r="MNC23" s="26"/>
      <c r="MND23" s="26"/>
      <c r="MNE23" s="26"/>
      <c r="MOT23" s="31"/>
      <c r="MOU23" s="26"/>
      <c r="MOV23" s="26"/>
      <c r="MOW23" s="26"/>
      <c r="MQL23" s="31"/>
      <c r="MQM23" s="26"/>
      <c r="MQN23" s="26"/>
      <c r="MQO23" s="26"/>
      <c r="MSD23" s="31"/>
      <c r="MSE23" s="26"/>
      <c r="MSF23" s="26"/>
      <c r="MSG23" s="26"/>
      <c r="MTV23" s="31"/>
      <c r="MTW23" s="26"/>
      <c r="MTX23" s="26"/>
      <c r="MTY23" s="26"/>
      <c r="MVN23" s="31"/>
      <c r="MVO23" s="26"/>
      <c r="MVP23" s="26"/>
      <c r="MVQ23" s="26"/>
      <c r="MXF23" s="31"/>
      <c r="MXG23" s="26"/>
      <c r="MXH23" s="26"/>
      <c r="MXI23" s="26"/>
      <c r="MYX23" s="31"/>
      <c r="MYY23" s="26"/>
      <c r="MYZ23" s="26"/>
      <c r="MZA23" s="26"/>
      <c r="NAP23" s="31"/>
      <c r="NAQ23" s="26"/>
      <c r="NAR23" s="26"/>
      <c r="NAS23" s="26"/>
      <c r="NCH23" s="31"/>
      <c r="NCI23" s="26"/>
      <c r="NCJ23" s="26"/>
      <c r="NCK23" s="26"/>
      <c r="NDZ23" s="31"/>
      <c r="NEA23" s="26"/>
      <c r="NEB23" s="26"/>
      <c r="NEC23" s="26"/>
      <c r="NFR23" s="31"/>
      <c r="NFS23" s="26"/>
      <c r="NFT23" s="26"/>
      <c r="NFU23" s="26"/>
      <c r="NHJ23" s="31"/>
      <c r="NHK23" s="26"/>
      <c r="NHL23" s="26"/>
      <c r="NHM23" s="26"/>
      <c r="NJB23" s="31"/>
      <c r="NJC23" s="26"/>
      <c r="NJD23" s="26"/>
      <c r="NJE23" s="26"/>
      <c r="NKT23" s="31"/>
      <c r="NKU23" s="26"/>
      <c r="NKV23" s="26"/>
      <c r="NKW23" s="26"/>
      <c r="NML23" s="31"/>
      <c r="NMM23" s="26"/>
      <c r="NMN23" s="26"/>
      <c r="NMO23" s="26"/>
      <c r="NOD23" s="31"/>
      <c r="NOE23" s="26"/>
      <c r="NOF23" s="26"/>
      <c r="NOG23" s="26"/>
      <c r="NPV23" s="31"/>
      <c r="NPW23" s="26"/>
      <c r="NPX23" s="26"/>
      <c r="NPY23" s="26"/>
      <c r="NRN23" s="31"/>
      <c r="NRO23" s="26"/>
      <c r="NRP23" s="26"/>
      <c r="NRQ23" s="26"/>
      <c r="NTF23" s="31"/>
      <c r="NTG23" s="26"/>
      <c r="NTH23" s="26"/>
      <c r="NTI23" s="26"/>
      <c r="NUX23" s="31"/>
      <c r="NUY23" s="26"/>
      <c r="NUZ23" s="26"/>
      <c r="NVA23" s="26"/>
      <c r="NWP23" s="31"/>
      <c r="NWQ23" s="26"/>
      <c r="NWR23" s="26"/>
      <c r="NWS23" s="26"/>
      <c r="NYH23" s="31"/>
      <c r="NYI23" s="26"/>
      <c r="NYJ23" s="26"/>
      <c r="NYK23" s="26"/>
      <c r="NZZ23" s="31"/>
      <c r="OAA23" s="26"/>
      <c r="OAB23" s="26"/>
      <c r="OAC23" s="26"/>
      <c r="OBR23" s="31"/>
      <c r="OBS23" s="26"/>
      <c r="OBT23" s="26"/>
      <c r="OBU23" s="26"/>
      <c r="ODJ23" s="31"/>
      <c r="ODK23" s="26"/>
      <c r="ODL23" s="26"/>
      <c r="ODM23" s="26"/>
      <c r="OFB23" s="31"/>
      <c r="OFC23" s="26"/>
      <c r="OFD23" s="26"/>
      <c r="OFE23" s="26"/>
      <c r="OGT23" s="31"/>
      <c r="OGU23" s="26"/>
      <c r="OGV23" s="26"/>
      <c r="OGW23" s="26"/>
      <c r="OIL23" s="31"/>
      <c r="OIM23" s="26"/>
      <c r="OIN23" s="26"/>
      <c r="OIO23" s="26"/>
      <c r="OKD23" s="31"/>
      <c r="OKE23" s="26"/>
      <c r="OKF23" s="26"/>
      <c r="OKG23" s="26"/>
      <c r="OLV23" s="31"/>
      <c r="OLW23" s="26"/>
      <c r="OLX23" s="26"/>
      <c r="OLY23" s="26"/>
      <c r="ONN23" s="31"/>
      <c r="ONO23" s="26"/>
      <c r="ONP23" s="26"/>
      <c r="ONQ23" s="26"/>
      <c r="OPF23" s="31"/>
      <c r="OPG23" s="26"/>
      <c r="OPH23" s="26"/>
      <c r="OPI23" s="26"/>
      <c r="OQX23" s="31"/>
      <c r="OQY23" s="26"/>
      <c r="OQZ23" s="26"/>
      <c r="ORA23" s="26"/>
      <c r="OSP23" s="31"/>
      <c r="OSQ23" s="26"/>
      <c r="OSR23" s="26"/>
      <c r="OSS23" s="26"/>
      <c r="OUH23" s="31"/>
      <c r="OUI23" s="26"/>
      <c r="OUJ23" s="26"/>
      <c r="OUK23" s="26"/>
      <c r="OVZ23" s="31"/>
      <c r="OWA23" s="26"/>
      <c r="OWB23" s="26"/>
      <c r="OWC23" s="26"/>
      <c r="OXR23" s="31"/>
      <c r="OXS23" s="26"/>
      <c r="OXT23" s="26"/>
      <c r="OXU23" s="26"/>
      <c r="OZJ23" s="31"/>
      <c r="OZK23" s="26"/>
      <c r="OZL23" s="26"/>
      <c r="OZM23" s="26"/>
      <c r="PBB23" s="31"/>
      <c r="PBC23" s="26"/>
      <c r="PBD23" s="26"/>
      <c r="PBE23" s="26"/>
      <c r="PCT23" s="31"/>
      <c r="PCU23" s="26"/>
      <c r="PCV23" s="26"/>
      <c r="PCW23" s="26"/>
      <c r="PEL23" s="31"/>
      <c r="PEM23" s="26"/>
      <c r="PEN23" s="26"/>
      <c r="PEO23" s="26"/>
      <c r="PGD23" s="31"/>
      <c r="PGE23" s="26"/>
      <c r="PGF23" s="26"/>
      <c r="PGG23" s="26"/>
      <c r="PHV23" s="31"/>
      <c r="PHW23" s="26"/>
      <c r="PHX23" s="26"/>
      <c r="PHY23" s="26"/>
      <c r="PJN23" s="31"/>
      <c r="PJO23" s="26"/>
      <c r="PJP23" s="26"/>
      <c r="PJQ23" s="26"/>
      <c r="PLF23" s="31"/>
      <c r="PLG23" s="26"/>
      <c r="PLH23" s="26"/>
      <c r="PLI23" s="26"/>
      <c r="PMX23" s="31"/>
      <c r="PMY23" s="26"/>
      <c r="PMZ23" s="26"/>
      <c r="PNA23" s="26"/>
      <c r="POP23" s="31"/>
      <c r="POQ23" s="26"/>
      <c r="POR23" s="26"/>
      <c r="POS23" s="26"/>
      <c r="PQH23" s="31"/>
      <c r="PQI23" s="26"/>
      <c r="PQJ23" s="26"/>
      <c r="PQK23" s="26"/>
      <c r="PRZ23" s="31"/>
      <c r="PSA23" s="26"/>
      <c r="PSB23" s="26"/>
      <c r="PSC23" s="26"/>
      <c r="PTR23" s="31"/>
      <c r="PTS23" s="26"/>
      <c r="PTT23" s="26"/>
      <c r="PTU23" s="26"/>
      <c r="PVJ23" s="31"/>
      <c r="PVK23" s="26"/>
      <c r="PVL23" s="26"/>
      <c r="PVM23" s="26"/>
      <c r="PXB23" s="31"/>
      <c r="PXC23" s="26"/>
      <c r="PXD23" s="26"/>
      <c r="PXE23" s="26"/>
      <c r="PYT23" s="31"/>
      <c r="PYU23" s="26"/>
      <c r="PYV23" s="26"/>
      <c r="PYW23" s="26"/>
      <c r="QAL23" s="31"/>
      <c r="QAM23" s="26"/>
      <c r="QAN23" s="26"/>
      <c r="QAO23" s="26"/>
      <c r="QCD23" s="31"/>
      <c r="QCE23" s="26"/>
      <c r="QCF23" s="26"/>
      <c r="QCG23" s="26"/>
      <c r="QDV23" s="31"/>
      <c r="QDW23" s="26"/>
      <c r="QDX23" s="26"/>
      <c r="QDY23" s="26"/>
      <c r="QFN23" s="31"/>
      <c r="QFO23" s="26"/>
      <c r="QFP23" s="26"/>
      <c r="QFQ23" s="26"/>
      <c r="QHF23" s="31"/>
      <c r="QHG23" s="26"/>
      <c r="QHH23" s="26"/>
      <c r="QHI23" s="26"/>
      <c r="QIX23" s="31"/>
      <c r="QIY23" s="26"/>
      <c r="QIZ23" s="26"/>
      <c r="QJA23" s="26"/>
      <c r="QKP23" s="31"/>
      <c r="QKQ23" s="26"/>
      <c r="QKR23" s="26"/>
      <c r="QKS23" s="26"/>
      <c r="QMH23" s="31"/>
      <c r="QMI23" s="26"/>
      <c r="QMJ23" s="26"/>
      <c r="QMK23" s="26"/>
      <c r="QNZ23" s="31"/>
      <c r="QOA23" s="26"/>
      <c r="QOB23" s="26"/>
      <c r="QOC23" s="26"/>
      <c r="QPR23" s="31"/>
      <c r="QPS23" s="26"/>
      <c r="QPT23" s="26"/>
      <c r="QPU23" s="26"/>
      <c r="QRJ23" s="31"/>
      <c r="QRK23" s="26"/>
      <c r="QRL23" s="26"/>
      <c r="QRM23" s="26"/>
      <c r="QTB23" s="31"/>
      <c r="QTC23" s="26"/>
      <c r="QTD23" s="26"/>
      <c r="QTE23" s="26"/>
      <c r="QUT23" s="31"/>
      <c r="QUU23" s="26"/>
      <c r="QUV23" s="26"/>
      <c r="QUW23" s="26"/>
      <c r="QWL23" s="31"/>
      <c r="QWM23" s="26"/>
      <c r="QWN23" s="26"/>
      <c r="QWO23" s="26"/>
      <c r="QYD23" s="31"/>
      <c r="QYE23" s="26"/>
      <c r="QYF23" s="26"/>
      <c r="QYG23" s="26"/>
      <c r="QZV23" s="31"/>
      <c r="QZW23" s="26"/>
      <c r="QZX23" s="26"/>
      <c r="QZY23" s="26"/>
      <c r="RBN23" s="31"/>
      <c r="RBO23" s="26"/>
      <c r="RBP23" s="26"/>
      <c r="RBQ23" s="26"/>
      <c r="RDF23" s="31"/>
      <c r="RDG23" s="26"/>
      <c r="RDH23" s="26"/>
      <c r="RDI23" s="26"/>
      <c r="REX23" s="31"/>
      <c r="REY23" s="26"/>
      <c r="REZ23" s="26"/>
      <c r="RFA23" s="26"/>
      <c r="RGP23" s="31"/>
      <c r="RGQ23" s="26"/>
      <c r="RGR23" s="26"/>
      <c r="RGS23" s="26"/>
      <c r="RIH23" s="31"/>
      <c r="RII23" s="26"/>
      <c r="RIJ23" s="26"/>
      <c r="RIK23" s="26"/>
      <c r="RJZ23" s="31"/>
      <c r="RKA23" s="26"/>
      <c r="RKB23" s="26"/>
      <c r="RKC23" s="26"/>
      <c r="RLR23" s="31"/>
      <c r="RLS23" s="26"/>
      <c r="RLT23" s="26"/>
      <c r="RLU23" s="26"/>
      <c r="RNJ23" s="31"/>
      <c r="RNK23" s="26"/>
      <c r="RNL23" s="26"/>
      <c r="RNM23" s="26"/>
      <c r="RPB23" s="31"/>
      <c r="RPC23" s="26"/>
      <c r="RPD23" s="26"/>
      <c r="RPE23" s="26"/>
      <c r="RQT23" s="31"/>
      <c r="RQU23" s="26"/>
      <c r="RQV23" s="26"/>
      <c r="RQW23" s="26"/>
      <c r="RSL23" s="31"/>
      <c r="RSM23" s="26"/>
      <c r="RSN23" s="26"/>
      <c r="RSO23" s="26"/>
      <c r="RUD23" s="31"/>
      <c r="RUE23" s="26"/>
      <c r="RUF23" s="26"/>
      <c r="RUG23" s="26"/>
      <c r="RVV23" s="31"/>
      <c r="RVW23" s="26"/>
      <c r="RVX23" s="26"/>
      <c r="RVY23" s="26"/>
      <c r="RXN23" s="31"/>
      <c r="RXO23" s="26"/>
      <c r="RXP23" s="26"/>
      <c r="RXQ23" s="26"/>
      <c r="RZF23" s="31"/>
      <c r="RZG23" s="26"/>
      <c r="RZH23" s="26"/>
      <c r="RZI23" s="26"/>
      <c r="SAX23" s="31"/>
      <c r="SAY23" s="26"/>
      <c r="SAZ23" s="26"/>
      <c r="SBA23" s="26"/>
      <c r="SCP23" s="31"/>
      <c r="SCQ23" s="26"/>
      <c r="SCR23" s="26"/>
      <c r="SCS23" s="26"/>
      <c r="SEH23" s="31"/>
      <c r="SEI23" s="26"/>
      <c r="SEJ23" s="26"/>
      <c r="SEK23" s="26"/>
      <c r="SFZ23" s="31"/>
      <c r="SGA23" s="26"/>
      <c r="SGB23" s="26"/>
      <c r="SGC23" s="26"/>
      <c r="SHR23" s="31"/>
      <c r="SHS23" s="26"/>
      <c r="SHT23" s="26"/>
      <c r="SHU23" s="26"/>
      <c r="SJJ23" s="31"/>
      <c r="SJK23" s="26"/>
      <c r="SJL23" s="26"/>
      <c r="SJM23" s="26"/>
      <c r="SLB23" s="31"/>
      <c r="SLC23" s="26"/>
      <c r="SLD23" s="26"/>
      <c r="SLE23" s="26"/>
      <c r="SMT23" s="31"/>
      <c r="SMU23" s="26"/>
      <c r="SMV23" s="26"/>
      <c r="SMW23" s="26"/>
      <c r="SOL23" s="31"/>
      <c r="SOM23" s="26"/>
      <c r="SON23" s="26"/>
      <c r="SOO23" s="26"/>
      <c r="SQD23" s="31"/>
      <c r="SQE23" s="26"/>
      <c r="SQF23" s="26"/>
      <c r="SQG23" s="26"/>
      <c r="SRV23" s="31"/>
      <c r="SRW23" s="26"/>
      <c r="SRX23" s="26"/>
      <c r="SRY23" s="26"/>
      <c r="STN23" s="31"/>
      <c r="STO23" s="26"/>
      <c r="STP23" s="26"/>
      <c r="STQ23" s="26"/>
      <c r="SVF23" s="31"/>
      <c r="SVG23" s="26"/>
      <c r="SVH23" s="26"/>
      <c r="SVI23" s="26"/>
      <c r="SWX23" s="31"/>
      <c r="SWY23" s="26"/>
      <c r="SWZ23" s="26"/>
      <c r="SXA23" s="26"/>
      <c r="SYP23" s="31"/>
      <c r="SYQ23" s="26"/>
      <c r="SYR23" s="26"/>
      <c r="SYS23" s="26"/>
      <c r="TAH23" s="31"/>
      <c r="TAI23" s="26"/>
      <c r="TAJ23" s="26"/>
      <c r="TAK23" s="26"/>
      <c r="TBZ23" s="31"/>
      <c r="TCA23" s="26"/>
      <c r="TCB23" s="26"/>
      <c r="TCC23" s="26"/>
      <c r="TDR23" s="31"/>
      <c r="TDS23" s="26"/>
      <c r="TDT23" s="26"/>
      <c r="TDU23" s="26"/>
      <c r="TFJ23" s="31"/>
      <c r="TFK23" s="26"/>
      <c r="TFL23" s="26"/>
      <c r="TFM23" s="26"/>
      <c r="THB23" s="31"/>
      <c r="THC23" s="26"/>
      <c r="THD23" s="26"/>
      <c r="THE23" s="26"/>
      <c r="TIT23" s="31"/>
      <c r="TIU23" s="26"/>
      <c r="TIV23" s="26"/>
      <c r="TIW23" s="26"/>
      <c r="TKL23" s="31"/>
      <c r="TKM23" s="26"/>
      <c r="TKN23" s="26"/>
      <c r="TKO23" s="26"/>
      <c r="TMD23" s="31"/>
      <c r="TME23" s="26"/>
      <c r="TMF23" s="26"/>
      <c r="TMG23" s="26"/>
      <c r="TNV23" s="31"/>
      <c r="TNW23" s="26"/>
      <c r="TNX23" s="26"/>
      <c r="TNY23" s="26"/>
      <c r="TPN23" s="31"/>
      <c r="TPO23" s="26"/>
      <c r="TPP23" s="26"/>
      <c r="TPQ23" s="26"/>
      <c r="TRF23" s="31"/>
      <c r="TRG23" s="26"/>
      <c r="TRH23" s="26"/>
      <c r="TRI23" s="26"/>
      <c r="TSX23" s="31"/>
      <c r="TSY23" s="26"/>
      <c r="TSZ23" s="26"/>
      <c r="TTA23" s="26"/>
      <c r="TUP23" s="31"/>
      <c r="TUQ23" s="26"/>
      <c r="TUR23" s="26"/>
      <c r="TUS23" s="26"/>
      <c r="TWH23" s="31"/>
      <c r="TWI23" s="26"/>
      <c r="TWJ23" s="26"/>
      <c r="TWK23" s="26"/>
      <c r="TXZ23" s="31"/>
      <c r="TYA23" s="26"/>
      <c r="TYB23" s="26"/>
      <c r="TYC23" s="26"/>
      <c r="TZR23" s="31"/>
      <c r="TZS23" s="26"/>
      <c r="TZT23" s="26"/>
      <c r="TZU23" s="26"/>
      <c r="UBJ23" s="31"/>
      <c r="UBK23" s="26"/>
      <c r="UBL23" s="26"/>
      <c r="UBM23" s="26"/>
      <c r="UDB23" s="31"/>
      <c r="UDC23" s="26"/>
      <c r="UDD23" s="26"/>
      <c r="UDE23" s="26"/>
      <c r="UET23" s="31"/>
      <c r="UEU23" s="26"/>
      <c r="UEV23" s="26"/>
      <c r="UEW23" s="26"/>
      <c r="UGL23" s="31"/>
      <c r="UGM23" s="26"/>
      <c r="UGN23" s="26"/>
      <c r="UGO23" s="26"/>
      <c r="UID23" s="31"/>
      <c r="UIE23" s="26"/>
      <c r="UIF23" s="26"/>
      <c r="UIG23" s="26"/>
      <c r="UJV23" s="31"/>
      <c r="UJW23" s="26"/>
      <c r="UJX23" s="26"/>
      <c r="UJY23" s="26"/>
      <c r="ULN23" s="31"/>
      <c r="ULO23" s="26"/>
      <c r="ULP23" s="26"/>
      <c r="ULQ23" s="26"/>
      <c r="UNF23" s="31"/>
      <c r="UNG23" s="26"/>
      <c r="UNH23" s="26"/>
      <c r="UNI23" s="26"/>
      <c r="UOX23" s="31"/>
      <c r="UOY23" s="26"/>
      <c r="UOZ23" s="26"/>
      <c r="UPA23" s="26"/>
      <c r="UQP23" s="31"/>
      <c r="UQQ23" s="26"/>
      <c r="UQR23" s="26"/>
      <c r="UQS23" s="26"/>
      <c r="USH23" s="31"/>
      <c r="USI23" s="26"/>
      <c r="USJ23" s="26"/>
      <c r="USK23" s="26"/>
      <c r="UTZ23" s="31"/>
      <c r="UUA23" s="26"/>
      <c r="UUB23" s="26"/>
      <c r="UUC23" s="26"/>
      <c r="UVR23" s="31"/>
      <c r="UVS23" s="26"/>
      <c r="UVT23" s="26"/>
      <c r="UVU23" s="26"/>
      <c r="UXJ23" s="31"/>
      <c r="UXK23" s="26"/>
      <c r="UXL23" s="26"/>
      <c r="UXM23" s="26"/>
      <c r="UZB23" s="31"/>
      <c r="UZC23" s="26"/>
      <c r="UZD23" s="26"/>
      <c r="UZE23" s="26"/>
      <c r="VAT23" s="31"/>
      <c r="VAU23" s="26"/>
      <c r="VAV23" s="26"/>
      <c r="VAW23" s="26"/>
      <c r="VCL23" s="31"/>
      <c r="VCM23" s="26"/>
      <c r="VCN23" s="26"/>
      <c r="VCO23" s="26"/>
      <c r="VED23" s="31"/>
      <c r="VEE23" s="26"/>
      <c r="VEF23" s="26"/>
      <c r="VEG23" s="26"/>
      <c r="VFV23" s="31"/>
      <c r="VFW23" s="26"/>
      <c r="VFX23" s="26"/>
      <c r="VFY23" s="26"/>
      <c r="VHN23" s="31"/>
      <c r="VHO23" s="26"/>
      <c r="VHP23" s="26"/>
      <c r="VHQ23" s="26"/>
      <c r="VJF23" s="31"/>
      <c r="VJG23" s="26"/>
      <c r="VJH23" s="26"/>
      <c r="VJI23" s="26"/>
      <c r="VKX23" s="31"/>
      <c r="VKY23" s="26"/>
      <c r="VKZ23" s="26"/>
      <c r="VLA23" s="26"/>
      <c r="VMP23" s="31"/>
      <c r="VMQ23" s="26"/>
      <c r="VMR23" s="26"/>
      <c r="VMS23" s="26"/>
      <c r="VOH23" s="31"/>
      <c r="VOI23" s="26"/>
      <c r="VOJ23" s="26"/>
      <c r="VOK23" s="26"/>
      <c r="VPZ23" s="31"/>
      <c r="VQA23" s="26"/>
      <c r="VQB23" s="26"/>
      <c r="VQC23" s="26"/>
      <c r="VRR23" s="31"/>
      <c r="VRS23" s="26"/>
      <c r="VRT23" s="26"/>
      <c r="VRU23" s="26"/>
      <c r="VTJ23" s="31"/>
      <c r="VTK23" s="26"/>
      <c r="VTL23" s="26"/>
      <c r="VTM23" s="26"/>
      <c r="VVB23" s="31"/>
      <c r="VVC23" s="26"/>
      <c r="VVD23" s="26"/>
      <c r="VVE23" s="26"/>
      <c r="VWT23" s="31"/>
      <c r="VWU23" s="26"/>
      <c r="VWV23" s="26"/>
      <c r="VWW23" s="26"/>
      <c r="VYL23" s="31"/>
      <c r="VYM23" s="26"/>
      <c r="VYN23" s="26"/>
      <c r="VYO23" s="26"/>
      <c r="WAD23" s="31"/>
      <c r="WAE23" s="26"/>
      <c r="WAF23" s="26"/>
      <c r="WAG23" s="26"/>
      <c r="WBV23" s="31"/>
      <c r="WBW23" s="26"/>
      <c r="WBX23" s="26"/>
      <c r="WBY23" s="26"/>
      <c r="WDN23" s="31"/>
      <c r="WDO23" s="26"/>
      <c r="WDP23" s="26"/>
      <c r="WDQ23" s="26"/>
      <c r="WFF23" s="31"/>
      <c r="WFG23" s="26"/>
      <c r="WFH23" s="26"/>
      <c r="WFI23" s="26"/>
      <c r="WGX23" s="31"/>
      <c r="WGY23" s="26"/>
      <c r="WGZ23" s="26"/>
      <c r="WHA23" s="26"/>
      <c r="WIP23" s="31"/>
      <c r="WIQ23" s="26"/>
      <c r="WIR23" s="26"/>
      <c r="WIS23" s="26"/>
      <c r="WKH23" s="31"/>
      <c r="WKI23" s="26"/>
      <c r="WKJ23" s="26"/>
      <c r="WKK23" s="26"/>
      <c r="WLZ23" s="31"/>
      <c r="WMA23" s="26"/>
      <c r="WMB23" s="26"/>
      <c r="WMC23" s="26"/>
      <c r="WNR23" s="31"/>
      <c r="WNS23" s="26"/>
      <c r="WNT23" s="26"/>
      <c r="WNU23" s="26"/>
      <c r="WPJ23" s="31"/>
      <c r="WPK23" s="26"/>
      <c r="WPL23" s="26"/>
      <c r="WPM23" s="26"/>
      <c r="WRB23" s="31"/>
      <c r="WRC23" s="26"/>
      <c r="WRD23" s="26"/>
      <c r="WRE23" s="26"/>
      <c r="WST23" s="31"/>
      <c r="WSU23" s="26"/>
      <c r="WSV23" s="26"/>
      <c r="WSW23" s="26"/>
      <c r="WUL23" s="31"/>
      <c r="WUM23" s="26"/>
      <c r="WUN23" s="26"/>
      <c r="WUO23" s="26"/>
      <c r="WWD23" s="31"/>
      <c r="WWE23" s="26"/>
      <c r="WWF23" s="26"/>
      <c r="WWG23" s="26"/>
      <c r="WXV23" s="31"/>
      <c r="WXW23" s="26"/>
      <c r="WXX23" s="26"/>
      <c r="WXY23" s="26"/>
      <c r="WZN23" s="31"/>
      <c r="WZO23" s="26"/>
      <c r="WZP23" s="26"/>
      <c r="WZQ23" s="26"/>
      <c r="XBF23" s="31"/>
      <c r="XBG23" s="26"/>
      <c r="XBH23" s="26"/>
      <c r="XBI23" s="26"/>
      <c r="XCX23" s="31"/>
      <c r="XCY23" s="26"/>
      <c r="XCZ23" s="26"/>
      <c r="XDA23" s="26"/>
      <c r="XEP23" s="31"/>
      <c r="XEQ23" s="26"/>
      <c r="XER23" s="26"/>
      <c r="XES23" s="26"/>
    </row>
    <row r="24" spans="1:1017 1058:2029 2070:3041 3082:5109 5150:6121 6162:7133 7174:8189 8230:9201 9242:10213 10254:11225 11266:12281 12322:13293 13334:14305 14346:16373" ht="15.75" x14ac:dyDescent="0.25">
      <c r="A24" s="4" t="s">
        <v>84</v>
      </c>
      <c r="B24" s="304">
        <f>'Бюджет '!F21</f>
        <v>825124525.273</v>
      </c>
      <c r="C24" s="52">
        <f>SUM(F24:AS24)</f>
        <v>825124525.27300024</v>
      </c>
      <c r="D24" s="32"/>
      <c r="E24" s="32"/>
      <c r="F24" s="52">
        <f>$B$24/ТЭПы!$C$5/4</f>
        <v>28452569.837000001</v>
      </c>
      <c r="G24" s="52">
        <f>$B$24/ТЭПы!$C$5/4</f>
        <v>28452569.837000001</v>
      </c>
      <c r="H24" s="52">
        <f>$B$24/ТЭПы!$C$5/4</f>
        <v>28452569.837000001</v>
      </c>
      <c r="I24" s="52">
        <f>$B$24/ТЭПы!$C$5/4</f>
        <v>28452569.837000001</v>
      </c>
      <c r="J24" s="52">
        <f>$B$24/ТЭПы!$C$5/4</f>
        <v>28452569.837000001</v>
      </c>
      <c r="K24" s="52">
        <f>$B$24/ТЭПы!$C$5/4</f>
        <v>28452569.837000001</v>
      </c>
      <c r="L24" s="52">
        <f>$B$24/ТЭПы!$C$5/4</f>
        <v>28452569.837000001</v>
      </c>
      <c r="M24" s="52">
        <f>$B$24/ТЭПы!$C$5/4</f>
        <v>28452569.837000001</v>
      </c>
      <c r="N24" s="52">
        <f>$B$24/ТЭПы!$C$5/4</f>
        <v>28452569.837000001</v>
      </c>
      <c r="O24" s="52">
        <f>$B$24/ТЭПы!$C$5/4</f>
        <v>28452569.837000001</v>
      </c>
      <c r="P24" s="52">
        <f>$B$24/ТЭПы!$C$5/4</f>
        <v>28452569.837000001</v>
      </c>
      <c r="Q24" s="52">
        <f>$B$24/ТЭПы!$C$5/4</f>
        <v>28452569.837000001</v>
      </c>
      <c r="R24" s="52">
        <f>$B$24/ТЭПы!$C$5/4</f>
        <v>28452569.837000001</v>
      </c>
      <c r="S24" s="52">
        <f>$B$24/ТЭПы!$C$5/4</f>
        <v>28452569.837000001</v>
      </c>
      <c r="T24" s="52">
        <f>$B$24/ТЭПы!$C$5/4</f>
        <v>28452569.837000001</v>
      </c>
      <c r="U24" s="52">
        <f>$B$24/ТЭПы!$C$5/4</f>
        <v>28452569.837000001</v>
      </c>
      <c r="V24" s="52">
        <f>$B$24/ТЭПы!$C$5/4</f>
        <v>28452569.837000001</v>
      </c>
      <c r="W24" s="52">
        <f>$B$24/ТЭПы!$C$5/4</f>
        <v>28452569.837000001</v>
      </c>
      <c r="X24" s="52">
        <f>$B$24/ТЭПы!$C$5/4</f>
        <v>28452569.837000001</v>
      </c>
      <c r="Y24" s="52">
        <f>$B$24/ТЭПы!$C$5/4</f>
        <v>28452569.837000001</v>
      </c>
      <c r="Z24" s="52">
        <f>$B$24/ТЭПы!$C$5/4</f>
        <v>28452569.837000001</v>
      </c>
      <c r="AA24" s="52">
        <f>$B$24/ТЭПы!$C$5/4</f>
        <v>28452569.837000001</v>
      </c>
      <c r="AB24" s="52">
        <f>$B$24/ТЭПы!$C$5/4</f>
        <v>28452569.837000001</v>
      </c>
      <c r="AC24" s="52">
        <f>$B$24/ТЭПы!$C$5/4</f>
        <v>28452569.837000001</v>
      </c>
      <c r="AD24" s="52">
        <f>$B$24/ТЭПы!$C$5/4</f>
        <v>28452569.837000001</v>
      </c>
      <c r="AE24" s="52">
        <f>$B$24/ТЭПы!$C$5/4</f>
        <v>28452569.837000001</v>
      </c>
      <c r="AF24" s="52">
        <f>$B$24/ТЭПы!$C$5/4</f>
        <v>28452569.837000001</v>
      </c>
      <c r="AG24" s="52">
        <f>$B$24/ТЭПы!$C$5/4</f>
        <v>28452569.837000001</v>
      </c>
      <c r="AH24" s="52">
        <f>$B$24/ТЭПы!$C$5/4</f>
        <v>28452569.837000001</v>
      </c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</row>
    <row r="25" spans="1:1017 1058:2029 2070:3041 3082:5109 5150:6121 6162:7133 7174:8189 8230:9201 9242:10213 10254:11225 11266:12281 12322:13293 13334:14305 14346:16373" ht="15.75" x14ac:dyDescent="0.25">
      <c r="A25" s="41" t="s">
        <v>85</v>
      </c>
      <c r="B25" s="315">
        <f>'Бюджет '!F22</f>
        <v>1109835000</v>
      </c>
      <c r="C25" s="52">
        <f t="shared" si="9"/>
        <v>1109835000</v>
      </c>
      <c r="D25" s="32"/>
      <c r="E25" s="32"/>
      <c r="F25" s="52">
        <f>F26*$B$25</f>
        <v>0</v>
      </c>
      <c r="G25" s="52">
        <f t="shared" ref="G25:AS25" si="14">G26*$B$25</f>
        <v>0</v>
      </c>
      <c r="H25" s="52">
        <f t="shared" si="14"/>
        <v>0</v>
      </c>
      <c r="I25" s="52">
        <f t="shared" si="14"/>
        <v>0</v>
      </c>
      <c r="J25" s="52">
        <f t="shared" si="14"/>
        <v>0</v>
      </c>
      <c r="K25" s="52">
        <f t="shared" si="14"/>
        <v>1109835000</v>
      </c>
      <c r="L25" s="52">
        <f t="shared" si="14"/>
        <v>0</v>
      </c>
      <c r="M25" s="52">
        <f t="shared" si="14"/>
        <v>0</v>
      </c>
      <c r="N25" s="52">
        <f t="shared" si="14"/>
        <v>0</v>
      </c>
      <c r="O25" s="52">
        <f t="shared" si="14"/>
        <v>0</v>
      </c>
      <c r="P25" s="52">
        <f t="shared" si="14"/>
        <v>0</v>
      </c>
      <c r="Q25" s="52">
        <f t="shared" si="14"/>
        <v>0</v>
      </c>
      <c r="R25" s="52">
        <f t="shared" si="14"/>
        <v>0</v>
      </c>
      <c r="S25" s="52">
        <f t="shared" si="14"/>
        <v>0</v>
      </c>
      <c r="T25" s="52">
        <f t="shared" si="14"/>
        <v>0</v>
      </c>
      <c r="U25" s="52">
        <f t="shared" si="14"/>
        <v>0</v>
      </c>
      <c r="V25" s="52">
        <f t="shared" si="14"/>
        <v>0</v>
      </c>
      <c r="W25" s="52">
        <f t="shared" si="14"/>
        <v>0</v>
      </c>
      <c r="X25" s="52">
        <f t="shared" si="14"/>
        <v>0</v>
      </c>
      <c r="Y25" s="52">
        <f t="shared" si="14"/>
        <v>0</v>
      </c>
      <c r="Z25" s="52">
        <f t="shared" si="14"/>
        <v>0</v>
      </c>
      <c r="AA25" s="52">
        <f t="shared" si="14"/>
        <v>0</v>
      </c>
      <c r="AB25" s="52">
        <f t="shared" si="14"/>
        <v>0</v>
      </c>
      <c r="AC25" s="52">
        <f t="shared" si="14"/>
        <v>0</v>
      </c>
      <c r="AD25" s="52">
        <f t="shared" si="14"/>
        <v>0</v>
      </c>
      <c r="AE25" s="52">
        <f t="shared" si="14"/>
        <v>0</v>
      </c>
      <c r="AF25" s="52">
        <f t="shared" si="14"/>
        <v>0</v>
      </c>
      <c r="AG25" s="52">
        <f t="shared" si="14"/>
        <v>0</v>
      </c>
      <c r="AH25" s="52">
        <f t="shared" si="14"/>
        <v>0</v>
      </c>
      <c r="AI25" s="52">
        <f t="shared" si="14"/>
        <v>0</v>
      </c>
      <c r="AJ25" s="52">
        <f t="shared" si="14"/>
        <v>0</v>
      </c>
      <c r="AK25" s="52">
        <f t="shared" si="14"/>
        <v>0</v>
      </c>
      <c r="AL25" s="52">
        <f t="shared" si="14"/>
        <v>0</v>
      </c>
      <c r="AM25" s="52">
        <f t="shared" si="14"/>
        <v>0</v>
      </c>
      <c r="AN25" s="52">
        <f t="shared" si="14"/>
        <v>0</v>
      </c>
      <c r="AO25" s="52">
        <f t="shared" si="14"/>
        <v>0</v>
      </c>
      <c r="AP25" s="52">
        <f t="shared" si="14"/>
        <v>0</v>
      </c>
      <c r="AQ25" s="52">
        <f t="shared" si="14"/>
        <v>0</v>
      </c>
      <c r="AR25" s="52">
        <f t="shared" si="14"/>
        <v>0</v>
      </c>
      <c r="AS25" s="52">
        <f t="shared" si="14"/>
        <v>0</v>
      </c>
    </row>
    <row r="26" spans="1:1017 1058:2029 2070:3041 3082:5109 5150:6121 6162:7133 7174:8189 8230:9201 9242:10213 10254:11225 11266:12281 12322:13293 13334:14305 14346:16373" x14ac:dyDescent="0.2">
      <c r="A26" s="37" t="s">
        <v>81</v>
      </c>
      <c r="B26" s="37"/>
      <c r="C26" s="87">
        <f t="shared" si="9"/>
        <v>1</v>
      </c>
      <c r="D26" s="26"/>
      <c r="E26" s="26"/>
      <c r="F26" s="56"/>
      <c r="G26" s="56"/>
      <c r="H26" s="56"/>
      <c r="I26" s="56"/>
      <c r="J26" s="56"/>
      <c r="K26" s="56">
        <v>1</v>
      </c>
      <c r="L26" s="56"/>
      <c r="M26" s="56"/>
      <c r="N26" s="56">
        <v>0</v>
      </c>
      <c r="O26" s="56">
        <v>0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</row>
    <row r="27" spans="1:1017 1058:2029 2070:3041 3082:5109 5150:6121 6162:7133 7174:8189 8230:9201 9242:10213 10254:11225 11266:12281 12322:13293 13334:14305 14346:16373" s="30" customFormat="1" ht="15.75" x14ac:dyDescent="0.25">
      <c r="A27" s="50" t="s">
        <v>94</v>
      </c>
      <c r="B27" s="86">
        <f>B28+B30+B32+B34+B36+B38</f>
        <v>2013174659.6600001</v>
      </c>
      <c r="C27" s="77">
        <f t="shared" si="9"/>
        <v>2013174659.6599998</v>
      </c>
      <c r="D27" s="51"/>
      <c r="E27" s="51"/>
      <c r="F27" s="53">
        <f t="shared" ref="F27:I27" si="15">SUM(F28,F30,F32,F34,F36,F38)</f>
        <v>377570336.5</v>
      </c>
      <c r="G27" s="53">
        <f t="shared" si="15"/>
        <v>375570336.5</v>
      </c>
      <c r="H27" s="53">
        <f t="shared" si="15"/>
        <v>0</v>
      </c>
      <c r="I27" s="53">
        <f t="shared" si="15"/>
        <v>0</v>
      </c>
      <c r="J27" s="53">
        <f>SUM(J28,J30,J32,J34,J36,J38)</f>
        <v>0</v>
      </c>
      <c r="K27" s="53">
        <f t="shared" ref="K27:AS27" si="16">SUM(K28,K30,K32,K34,K36,K38)</f>
        <v>0</v>
      </c>
      <c r="L27" s="53">
        <f t="shared" si="16"/>
        <v>0</v>
      </c>
      <c r="M27" s="53">
        <f t="shared" si="16"/>
        <v>630016993.33000004</v>
      </c>
      <c r="N27" s="53">
        <f t="shared" si="16"/>
        <v>630016993.33000004</v>
      </c>
      <c r="O27" s="53">
        <f t="shared" si="16"/>
        <v>0</v>
      </c>
      <c r="P27" s="53">
        <f t="shared" si="16"/>
        <v>0</v>
      </c>
      <c r="Q27" s="53">
        <f t="shared" si="16"/>
        <v>0</v>
      </c>
      <c r="R27" s="53">
        <f t="shared" si="16"/>
        <v>0</v>
      </c>
      <c r="S27" s="53">
        <f t="shared" si="16"/>
        <v>0</v>
      </c>
      <c r="T27" s="53">
        <f t="shared" si="16"/>
        <v>0</v>
      </c>
      <c r="U27" s="53">
        <f t="shared" si="16"/>
        <v>0</v>
      </c>
      <c r="V27" s="53">
        <f t="shared" si="16"/>
        <v>0</v>
      </c>
      <c r="W27" s="53">
        <f t="shared" si="16"/>
        <v>0</v>
      </c>
      <c r="X27" s="53">
        <f t="shared" si="16"/>
        <v>0</v>
      </c>
      <c r="Y27" s="53">
        <f t="shared" si="16"/>
        <v>0</v>
      </c>
      <c r="Z27" s="53">
        <f t="shared" si="16"/>
        <v>0</v>
      </c>
      <c r="AA27" s="288">
        <f t="shared" si="16"/>
        <v>0</v>
      </c>
      <c r="AB27" s="53">
        <f t="shared" si="16"/>
        <v>0</v>
      </c>
      <c r="AC27" s="53">
        <f t="shared" si="16"/>
        <v>0</v>
      </c>
      <c r="AD27" s="53">
        <f t="shared" si="16"/>
        <v>0</v>
      </c>
      <c r="AE27" s="53">
        <f t="shared" si="16"/>
        <v>0</v>
      </c>
      <c r="AF27" s="53">
        <f t="shared" si="16"/>
        <v>0</v>
      </c>
      <c r="AG27" s="53">
        <f t="shared" si="16"/>
        <v>0</v>
      </c>
      <c r="AH27" s="53">
        <f t="shared" si="16"/>
        <v>0</v>
      </c>
      <c r="AI27" s="53">
        <f t="shared" si="16"/>
        <v>0</v>
      </c>
      <c r="AJ27" s="53">
        <f t="shared" si="16"/>
        <v>0</v>
      </c>
      <c r="AK27" s="53">
        <f t="shared" si="16"/>
        <v>0</v>
      </c>
      <c r="AL27" s="53">
        <f t="shared" si="16"/>
        <v>0</v>
      </c>
      <c r="AM27" s="53">
        <f t="shared" si="16"/>
        <v>0</v>
      </c>
      <c r="AN27" s="53">
        <f t="shared" si="16"/>
        <v>0</v>
      </c>
      <c r="AO27" s="53">
        <f t="shared" si="16"/>
        <v>0</v>
      </c>
      <c r="AP27" s="53">
        <f t="shared" si="16"/>
        <v>0</v>
      </c>
      <c r="AQ27" s="53">
        <f t="shared" si="16"/>
        <v>0</v>
      </c>
      <c r="AR27" s="53">
        <f t="shared" si="16"/>
        <v>0</v>
      </c>
      <c r="AS27" s="53">
        <f t="shared" si="16"/>
        <v>0</v>
      </c>
      <c r="AT27" s="31"/>
      <c r="AU27" s="26"/>
      <c r="AV27" s="26"/>
      <c r="AW27" s="26"/>
      <c r="CL27" s="31"/>
      <c r="CM27" s="26"/>
      <c r="CN27" s="26"/>
      <c r="CO27" s="26"/>
      <c r="ED27" s="31"/>
      <c r="EE27" s="26"/>
      <c r="EF27" s="26"/>
      <c r="EG27" s="26"/>
      <c r="FV27" s="31"/>
      <c r="FW27" s="26"/>
      <c r="FX27" s="26"/>
      <c r="FY27" s="26"/>
      <c r="HN27" s="31"/>
      <c r="HO27" s="26"/>
      <c r="HP27" s="26"/>
      <c r="HQ27" s="26"/>
      <c r="JF27" s="31"/>
      <c r="JG27" s="26"/>
      <c r="JH27" s="26"/>
      <c r="JI27" s="26"/>
      <c r="KX27" s="31"/>
      <c r="KY27" s="26"/>
      <c r="KZ27" s="26"/>
      <c r="LA27" s="26"/>
      <c r="MP27" s="31"/>
      <c r="MQ27" s="26"/>
      <c r="MR27" s="26"/>
      <c r="MS27" s="26"/>
      <c r="OH27" s="31"/>
      <c r="OI27" s="26"/>
      <c r="OJ27" s="26"/>
      <c r="OK27" s="26"/>
      <c r="PZ27" s="31"/>
      <c r="QA27" s="26"/>
      <c r="QB27" s="26"/>
      <c r="QC27" s="26"/>
      <c r="RR27" s="31"/>
      <c r="RS27" s="26"/>
      <c r="RT27" s="26"/>
      <c r="RU27" s="26"/>
      <c r="TJ27" s="31"/>
      <c r="TK27" s="26"/>
      <c r="TL27" s="26"/>
      <c r="TM27" s="26"/>
      <c r="VB27" s="31"/>
      <c r="VC27" s="26"/>
      <c r="VD27" s="26"/>
      <c r="VE27" s="26"/>
      <c r="WT27" s="31"/>
      <c r="WU27" s="26"/>
      <c r="WV27" s="26"/>
      <c r="WW27" s="26"/>
      <c r="YL27" s="31"/>
      <c r="YM27" s="26"/>
      <c r="YN27" s="26"/>
      <c r="YO27" s="26"/>
      <c r="AAD27" s="31"/>
      <c r="AAE27" s="26"/>
      <c r="AAF27" s="26"/>
      <c r="AAG27" s="26"/>
      <c r="ABV27" s="31"/>
      <c r="ABW27" s="26"/>
      <c r="ABX27" s="26"/>
      <c r="ABY27" s="26"/>
      <c r="ADN27" s="31"/>
      <c r="ADO27" s="26"/>
      <c r="ADP27" s="26"/>
      <c r="ADQ27" s="26"/>
      <c r="AFF27" s="31"/>
      <c r="AFG27" s="26"/>
      <c r="AFH27" s="26"/>
      <c r="AFI27" s="26"/>
      <c r="AGX27" s="31"/>
      <c r="AGY27" s="26"/>
      <c r="AGZ27" s="26"/>
      <c r="AHA27" s="26"/>
      <c r="AIP27" s="31"/>
      <c r="AIQ27" s="26"/>
      <c r="AIR27" s="26"/>
      <c r="AIS27" s="26"/>
      <c r="AKH27" s="31"/>
      <c r="AKI27" s="26"/>
      <c r="AKJ27" s="26"/>
      <c r="AKK27" s="26"/>
      <c r="ALZ27" s="31"/>
      <c r="AMA27" s="26"/>
      <c r="AMB27" s="26"/>
      <c r="AMC27" s="26"/>
      <c r="ANR27" s="31"/>
      <c r="ANS27" s="26"/>
      <c r="ANT27" s="26"/>
      <c r="ANU27" s="26"/>
      <c r="APJ27" s="31"/>
      <c r="APK27" s="26"/>
      <c r="APL27" s="26"/>
      <c r="APM27" s="26"/>
      <c r="ARB27" s="31"/>
      <c r="ARC27" s="26"/>
      <c r="ARD27" s="26"/>
      <c r="ARE27" s="26"/>
      <c r="AST27" s="31"/>
      <c r="ASU27" s="26"/>
      <c r="ASV27" s="26"/>
      <c r="ASW27" s="26"/>
      <c r="AUL27" s="31"/>
      <c r="AUM27" s="26"/>
      <c r="AUN27" s="26"/>
      <c r="AUO27" s="26"/>
      <c r="AWD27" s="31"/>
      <c r="AWE27" s="26"/>
      <c r="AWF27" s="26"/>
      <c r="AWG27" s="26"/>
      <c r="AXV27" s="31"/>
      <c r="AXW27" s="26"/>
      <c r="AXX27" s="26"/>
      <c r="AXY27" s="26"/>
      <c r="AZN27" s="31"/>
      <c r="AZO27" s="26"/>
      <c r="AZP27" s="26"/>
      <c r="AZQ27" s="26"/>
      <c r="BBF27" s="31"/>
      <c r="BBG27" s="26"/>
      <c r="BBH27" s="26"/>
      <c r="BBI27" s="26"/>
      <c r="BCX27" s="31"/>
      <c r="BCY27" s="26"/>
      <c r="BCZ27" s="26"/>
      <c r="BDA27" s="26"/>
      <c r="BEP27" s="31"/>
      <c r="BEQ27" s="26"/>
      <c r="BER27" s="26"/>
      <c r="BES27" s="26"/>
      <c r="BGH27" s="31"/>
      <c r="BGI27" s="26"/>
      <c r="BGJ27" s="26"/>
      <c r="BGK27" s="26"/>
      <c r="BHZ27" s="31"/>
      <c r="BIA27" s="26"/>
      <c r="BIB27" s="26"/>
      <c r="BIC27" s="26"/>
      <c r="BJR27" s="31"/>
      <c r="BJS27" s="26"/>
      <c r="BJT27" s="26"/>
      <c r="BJU27" s="26"/>
      <c r="BLJ27" s="31"/>
      <c r="BLK27" s="26"/>
      <c r="BLL27" s="26"/>
      <c r="BLM27" s="26"/>
      <c r="BNB27" s="31"/>
      <c r="BNC27" s="26"/>
      <c r="BND27" s="26"/>
      <c r="BNE27" s="26"/>
      <c r="BOT27" s="31"/>
      <c r="BOU27" s="26"/>
      <c r="BOV27" s="26"/>
      <c r="BOW27" s="26"/>
      <c r="BQL27" s="31"/>
      <c r="BQM27" s="26"/>
      <c r="BQN27" s="26"/>
      <c r="BQO27" s="26"/>
      <c r="BSD27" s="31"/>
      <c r="BSE27" s="26"/>
      <c r="BSF27" s="26"/>
      <c r="BSG27" s="26"/>
      <c r="BTV27" s="31"/>
      <c r="BTW27" s="26"/>
      <c r="BTX27" s="26"/>
      <c r="BTY27" s="26"/>
      <c r="BVN27" s="31"/>
      <c r="BVO27" s="26"/>
      <c r="BVP27" s="26"/>
      <c r="BVQ27" s="26"/>
      <c r="BXF27" s="31"/>
      <c r="BXG27" s="26"/>
      <c r="BXH27" s="26"/>
      <c r="BXI27" s="26"/>
      <c r="BYX27" s="31"/>
      <c r="BYY27" s="26"/>
      <c r="BYZ27" s="26"/>
      <c r="BZA27" s="26"/>
      <c r="CAP27" s="31"/>
      <c r="CAQ27" s="26"/>
      <c r="CAR27" s="26"/>
      <c r="CAS27" s="26"/>
      <c r="CCH27" s="31"/>
      <c r="CCI27" s="26"/>
      <c r="CCJ27" s="26"/>
      <c r="CCK27" s="26"/>
      <c r="CDZ27" s="31"/>
      <c r="CEA27" s="26"/>
      <c r="CEB27" s="26"/>
      <c r="CEC27" s="26"/>
      <c r="CFR27" s="31"/>
      <c r="CFS27" s="26"/>
      <c r="CFT27" s="26"/>
      <c r="CFU27" s="26"/>
      <c r="CHJ27" s="31"/>
      <c r="CHK27" s="26"/>
      <c r="CHL27" s="26"/>
      <c r="CHM27" s="26"/>
      <c r="CJB27" s="31"/>
      <c r="CJC27" s="26"/>
      <c r="CJD27" s="26"/>
      <c r="CJE27" s="26"/>
      <c r="CKT27" s="31"/>
      <c r="CKU27" s="26"/>
      <c r="CKV27" s="26"/>
      <c r="CKW27" s="26"/>
      <c r="CML27" s="31"/>
      <c r="CMM27" s="26"/>
      <c r="CMN27" s="26"/>
      <c r="CMO27" s="26"/>
      <c r="COD27" s="31"/>
      <c r="COE27" s="26"/>
      <c r="COF27" s="26"/>
      <c r="COG27" s="26"/>
      <c r="CPV27" s="31"/>
      <c r="CPW27" s="26"/>
      <c r="CPX27" s="26"/>
      <c r="CPY27" s="26"/>
      <c r="CRN27" s="31"/>
      <c r="CRO27" s="26"/>
      <c r="CRP27" s="26"/>
      <c r="CRQ27" s="26"/>
      <c r="CTF27" s="31"/>
      <c r="CTG27" s="26"/>
      <c r="CTH27" s="26"/>
      <c r="CTI27" s="26"/>
      <c r="CUX27" s="31"/>
      <c r="CUY27" s="26"/>
      <c r="CUZ27" s="26"/>
      <c r="CVA27" s="26"/>
      <c r="CWP27" s="31"/>
      <c r="CWQ27" s="26"/>
      <c r="CWR27" s="26"/>
      <c r="CWS27" s="26"/>
      <c r="CYH27" s="31"/>
      <c r="CYI27" s="26"/>
      <c r="CYJ27" s="26"/>
      <c r="CYK27" s="26"/>
      <c r="CZZ27" s="31"/>
      <c r="DAA27" s="26"/>
      <c r="DAB27" s="26"/>
      <c r="DAC27" s="26"/>
      <c r="DBR27" s="31"/>
      <c r="DBS27" s="26"/>
      <c r="DBT27" s="26"/>
      <c r="DBU27" s="26"/>
      <c r="DDJ27" s="31"/>
      <c r="DDK27" s="26"/>
      <c r="DDL27" s="26"/>
      <c r="DDM27" s="26"/>
      <c r="DFB27" s="31"/>
      <c r="DFC27" s="26"/>
      <c r="DFD27" s="26"/>
      <c r="DFE27" s="26"/>
      <c r="DGT27" s="31"/>
      <c r="DGU27" s="26"/>
      <c r="DGV27" s="26"/>
      <c r="DGW27" s="26"/>
      <c r="DIL27" s="31"/>
      <c r="DIM27" s="26"/>
      <c r="DIN27" s="26"/>
      <c r="DIO27" s="26"/>
      <c r="DKD27" s="31"/>
      <c r="DKE27" s="26"/>
      <c r="DKF27" s="26"/>
      <c r="DKG27" s="26"/>
      <c r="DLV27" s="31"/>
      <c r="DLW27" s="26"/>
      <c r="DLX27" s="26"/>
      <c r="DLY27" s="26"/>
      <c r="DNN27" s="31"/>
      <c r="DNO27" s="26"/>
      <c r="DNP27" s="26"/>
      <c r="DNQ27" s="26"/>
      <c r="DPF27" s="31"/>
      <c r="DPG27" s="26"/>
      <c r="DPH27" s="26"/>
      <c r="DPI27" s="26"/>
      <c r="DQX27" s="31"/>
      <c r="DQY27" s="26"/>
      <c r="DQZ27" s="26"/>
      <c r="DRA27" s="26"/>
      <c r="DSP27" s="31"/>
      <c r="DSQ27" s="26"/>
      <c r="DSR27" s="26"/>
      <c r="DSS27" s="26"/>
      <c r="DUH27" s="31"/>
      <c r="DUI27" s="26"/>
      <c r="DUJ27" s="26"/>
      <c r="DUK27" s="26"/>
      <c r="DVZ27" s="31"/>
      <c r="DWA27" s="26"/>
      <c r="DWB27" s="26"/>
      <c r="DWC27" s="26"/>
      <c r="DXR27" s="31"/>
      <c r="DXS27" s="26"/>
      <c r="DXT27" s="26"/>
      <c r="DXU27" s="26"/>
      <c r="DZJ27" s="31"/>
      <c r="DZK27" s="26"/>
      <c r="DZL27" s="26"/>
      <c r="DZM27" s="26"/>
      <c r="EBB27" s="31"/>
      <c r="EBC27" s="26"/>
      <c r="EBD27" s="26"/>
      <c r="EBE27" s="26"/>
      <c r="ECT27" s="31"/>
      <c r="ECU27" s="26"/>
      <c r="ECV27" s="26"/>
      <c r="ECW27" s="26"/>
      <c r="EEL27" s="31"/>
      <c r="EEM27" s="26"/>
      <c r="EEN27" s="26"/>
      <c r="EEO27" s="26"/>
      <c r="EGD27" s="31"/>
      <c r="EGE27" s="26"/>
      <c r="EGF27" s="26"/>
      <c r="EGG27" s="26"/>
      <c r="EHV27" s="31"/>
      <c r="EHW27" s="26"/>
      <c r="EHX27" s="26"/>
      <c r="EHY27" s="26"/>
      <c r="EJN27" s="31"/>
      <c r="EJO27" s="26"/>
      <c r="EJP27" s="26"/>
      <c r="EJQ27" s="26"/>
      <c r="ELF27" s="31"/>
      <c r="ELG27" s="26"/>
      <c r="ELH27" s="26"/>
      <c r="ELI27" s="26"/>
      <c r="EMX27" s="31"/>
      <c r="EMY27" s="26"/>
      <c r="EMZ27" s="26"/>
      <c r="ENA27" s="26"/>
      <c r="EOP27" s="31"/>
      <c r="EOQ27" s="26"/>
      <c r="EOR27" s="26"/>
      <c r="EOS27" s="26"/>
      <c r="EQH27" s="31"/>
      <c r="EQI27" s="26"/>
      <c r="EQJ27" s="26"/>
      <c r="EQK27" s="26"/>
      <c r="ERZ27" s="31"/>
      <c r="ESA27" s="26"/>
      <c r="ESB27" s="26"/>
      <c r="ESC27" s="26"/>
      <c r="ETR27" s="31"/>
      <c r="ETS27" s="26"/>
      <c r="ETT27" s="26"/>
      <c r="ETU27" s="26"/>
      <c r="EVJ27" s="31"/>
      <c r="EVK27" s="26"/>
      <c r="EVL27" s="26"/>
      <c r="EVM27" s="26"/>
      <c r="EXB27" s="31"/>
      <c r="EXC27" s="26"/>
      <c r="EXD27" s="26"/>
      <c r="EXE27" s="26"/>
      <c r="EYT27" s="31"/>
      <c r="EYU27" s="26"/>
      <c r="EYV27" s="26"/>
      <c r="EYW27" s="26"/>
      <c r="FAL27" s="31"/>
      <c r="FAM27" s="26"/>
      <c r="FAN27" s="26"/>
      <c r="FAO27" s="26"/>
      <c r="FCD27" s="31"/>
      <c r="FCE27" s="26"/>
      <c r="FCF27" s="26"/>
      <c r="FCG27" s="26"/>
      <c r="FDV27" s="31"/>
      <c r="FDW27" s="26"/>
      <c r="FDX27" s="26"/>
      <c r="FDY27" s="26"/>
      <c r="FFN27" s="31"/>
      <c r="FFO27" s="26"/>
      <c r="FFP27" s="26"/>
      <c r="FFQ27" s="26"/>
      <c r="FHF27" s="31"/>
      <c r="FHG27" s="26"/>
      <c r="FHH27" s="26"/>
      <c r="FHI27" s="26"/>
      <c r="FIX27" s="31"/>
      <c r="FIY27" s="26"/>
      <c r="FIZ27" s="26"/>
      <c r="FJA27" s="26"/>
      <c r="FKP27" s="31"/>
      <c r="FKQ27" s="26"/>
      <c r="FKR27" s="26"/>
      <c r="FKS27" s="26"/>
      <c r="FMH27" s="31"/>
      <c r="FMI27" s="26"/>
      <c r="FMJ27" s="26"/>
      <c r="FMK27" s="26"/>
      <c r="FNZ27" s="31"/>
      <c r="FOA27" s="26"/>
      <c r="FOB27" s="26"/>
      <c r="FOC27" s="26"/>
      <c r="FPR27" s="31"/>
      <c r="FPS27" s="26"/>
      <c r="FPT27" s="26"/>
      <c r="FPU27" s="26"/>
      <c r="FRJ27" s="31"/>
      <c r="FRK27" s="26"/>
      <c r="FRL27" s="26"/>
      <c r="FRM27" s="26"/>
      <c r="FTB27" s="31"/>
      <c r="FTC27" s="26"/>
      <c r="FTD27" s="26"/>
      <c r="FTE27" s="26"/>
      <c r="FUT27" s="31"/>
      <c r="FUU27" s="26"/>
      <c r="FUV27" s="26"/>
      <c r="FUW27" s="26"/>
      <c r="FWL27" s="31"/>
      <c r="FWM27" s="26"/>
      <c r="FWN27" s="26"/>
      <c r="FWO27" s="26"/>
      <c r="FYD27" s="31"/>
      <c r="FYE27" s="26"/>
      <c r="FYF27" s="26"/>
      <c r="FYG27" s="26"/>
      <c r="FZV27" s="31"/>
      <c r="FZW27" s="26"/>
      <c r="FZX27" s="26"/>
      <c r="FZY27" s="26"/>
      <c r="GBN27" s="31"/>
      <c r="GBO27" s="26"/>
      <c r="GBP27" s="26"/>
      <c r="GBQ27" s="26"/>
      <c r="GDF27" s="31"/>
      <c r="GDG27" s="26"/>
      <c r="GDH27" s="26"/>
      <c r="GDI27" s="26"/>
      <c r="GEX27" s="31"/>
      <c r="GEY27" s="26"/>
      <c r="GEZ27" s="26"/>
      <c r="GFA27" s="26"/>
      <c r="GGP27" s="31"/>
      <c r="GGQ27" s="26"/>
      <c r="GGR27" s="26"/>
      <c r="GGS27" s="26"/>
      <c r="GIH27" s="31"/>
      <c r="GII27" s="26"/>
      <c r="GIJ27" s="26"/>
      <c r="GIK27" s="26"/>
      <c r="GJZ27" s="31"/>
      <c r="GKA27" s="26"/>
      <c r="GKB27" s="26"/>
      <c r="GKC27" s="26"/>
      <c r="GLR27" s="31"/>
      <c r="GLS27" s="26"/>
      <c r="GLT27" s="26"/>
      <c r="GLU27" s="26"/>
      <c r="GNJ27" s="31"/>
      <c r="GNK27" s="26"/>
      <c r="GNL27" s="26"/>
      <c r="GNM27" s="26"/>
      <c r="GPB27" s="31"/>
      <c r="GPC27" s="26"/>
      <c r="GPD27" s="26"/>
      <c r="GPE27" s="26"/>
      <c r="GQT27" s="31"/>
      <c r="GQU27" s="26"/>
      <c r="GQV27" s="26"/>
      <c r="GQW27" s="26"/>
      <c r="GSL27" s="31"/>
      <c r="GSM27" s="26"/>
      <c r="GSN27" s="26"/>
      <c r="GSO27" s="26"/>
      <c r="GUD27" s="31"/>
      <c r="GUE27" s="26"/>
      <c r="GUF27" s="26"/>
      <c r="GUG27" s="26"/>
      <c r="GVV27" s="31"/>
      <c r="GVW27" s="26"/>
      <c r="GVX27" s="26"/>
      <c r="GVY27" s="26"/>
      <c r="GXN27" s="31"/>
      <c r="GXO27" s="26"/>
      <c r="GXP27" s="26"/>
      <c r="GXQ27" s="26"/>
      <c r="GZF27" s="31"/>
      <c r="GZG27" s="26"/>
      <c r="GZH27" s="26"/>
      <c r="GZI27" s="26"/>
      <c r="HAX27" s="31"/>
      <c r="HAY27" s="26"/>
      <c r="HAZ27" s="26"/>
      <c r="HBA27" s="26"/>
      <c r="HCP27" s="31"/>
      <c r="HCQ27" s="26"/>
      <c r="HCR27" s="26"/>
      <c r="HCS27" s="26"/>
      <c r="HEH27" s="31"/>
      <c r="HEI27" s="26"/>
      <c r="HEJ27" s="26"/>
      <c r="HEK27" s="26"/>
      <c r="HFZ27" s="31"/>
      <c r="HGA27" s="26"/>
      <c r="HGB27" s="26"/>
      <c r="HGC27" s="26"/>
      <c r="HHR27" s="31"/>
      <c r="HHS27" s="26"/>
      <c r="HHT27" s="26"/>
      <c r="HHU27" s="26"/>
      <c r="HJJ27" s="31"/>
      <c r="HJK27" s="26"/>
      <c r="HJL27" s="26"/>
      <c r="HJM27" s="26"/>
      <c r="HLB27" s="31"/>
      <c r="HLC27" s="26"/>
      <c r="HLD27" s="26"/>
      <c r="HLE27" s="26"/>
      <c r="HMT27" s="31"/>
      <c r="HMU27" s="26"/>
      <c r="HMV27" s="26"/>
      <c r="HMW27" s="26"/>
      <c r="HOL27" s="31"/>
      <c r="HOM27" s="26"/>
      <c r="HON27" s="26"/>
      <c r="HOO27" s="26"/>
      <c r="HQD27" s="31"/>
      <c r="HQE27" s="26"/>
      <c r="HQF27" s="26"/>
      <c r="HQG27" s="26"/>
      <c r="HRV27" s="31"/>
      <c r="HRW27" s="26"/>
      <c r="HRX27" s="26"/>
      <c r="HRY27" s="26"/>
      <c r="HTN27" s="31"/>
      <c r="HTO27" s="26"/>
      <c r="HTP27" s="26"/>
      <c r="HTQ27" s="26"/>
      <c r="HVF27" s="31"/>
      <c r="HVG27" s="26"/>
      <c r="HVH27" s="26"/>
      <c r="HVI27" s="26"/>
      <c r="HWX27" s="31"/>
      <c r="HWY27" s="26"/>
      <c r="HWZ27" s="26"/>
      <c r="HXA27" s="26"/>
      <c r="HYP27" s="31"/>
      <c r="HYQ27" s="26"/>
      <c r="HYR27" s="26"/>
      <c r="HYS27" s="26"/>
      <c r="IAH27" s="31"/>
      <c r="IAI27" s="26"/>
      <c r="IAJ27" s="26"/>
      <c r="IAK27" s="26"/>
      <c r="IBZ27" s="31"/>
      <c r="ICA27" s="26"/>
      <c r="ICB27" s="26"/>
      <c r="ICC27" s="26"/>
      <c r="IDR27" s="31"/>
      <c r="IDS27" s="26"/>
      <c r="IDT27" s="26"/>
      <c r="IDU27" s="26"/>
      <c r="IFJ27" s="31"/>
      <c r="IFK27" s="26"/>
      <c r="IFL27" s="26"/>
      <c r="IFM27" s="26"/>
      <c r="IHB27" s="31"/>
      <c r="IHC27" s="26"/>
      <c r="IHD27" s="26"/>
      <c r="IHE27" s="26"/>
      <c r="IIT27" s="31"/>
      <c r="IIU27" s="26"/>
      <c r="IIV27" s="26"/>
      <c r="IIW27" s="26"/>
      <c r="IKL27" s="31"/>
      <c r="IKM27" s="26"/>
      <c r="IKN27" s="26"/>
      <c r="IKO27" s="26"/>
      <c r="IMD27" s="31"/>
      <c r="IME27" s="26"/>
      <c r="IMF27" s="26"/>
      <c r="IMG27" s="26"/>
      <c r="INV27" s="31"/>
      <c r="INW27" s="26"/>
      <c r="INX27" s="26"/>
      <c r="INY27" s="26"/>
      <c r="IPN27" s="31"/>
      <c r="IPO27" s="26"/>
      <c r="IPP27" s="26"/>
      <c r="IPQ27" s="26"/>
      <c r="IRF27" s="31"/>
      <c r="IRG27" s="26"/>
      <c r="IRH27" s="26"/>
      <c r="IRI27" s="26"/>
      <c r="ISX27" s="31"/>
      <c r="ISY27" s="26"/>
      <c r="ISZ27" s="26"/>
      <c r="ITA27" s="26"/>
      <c r="IUP27" s="31"/>
      <c r="IUQ27" s="26"/>
      <c r="IUR27" s="26"/>
      <c r="IUS27" s="26"/>
      <c r="IWH27" s="31"/>
      <c r="IWI27" s="26"/>
      <c r="IWJ27" s="26"/>
      <c r="IWK27" s="26"/>
      <c r="IXZ27" s="31"/>
      <c r="IYA27" s="26"/>
      <c r="IYB27" s="26"/>
      <c r="IYC27" s="26"/>
      <c r="IZR27" s="31"/>
      <c r="IZS27" s="26"/>
      <c r="IZT27" s="26"/>
      <c r="IZU27" s="26"/>
      <c r="JBJ27" s="31"/>
      <c r="JBK27" s="26"/>
      <c r="JBL27" s="26"/>
      <c r="JBM27" s="26"/>
      <c r="JDB27" s="31"/>
      <c r="JDC27" s="26"/>
      <c r="JDD27" s="26"/>
      <c r="JDE27" s="26"/>
      <c r="JET27" s="31"/>
      <c r="JEU27" s="26"/>
      <c r="JEV27" s="26"/>
      <c r="JEW27" s="26"/>
      <c r="JGL27" s="31"/>
      <c r="JGM27" s="26"/>
      <c r="JGN27" s="26"/>
      <c r="JGO27" s="26"/>
      <c r="JID27" s="31"/>
      <c r="JIE27" s="26"/>
      <c r="JIF27" s="26"/>
      <c r="JIG27" s="26"/>
      <c r="JJV27" s="31"/>
      <c r="JJW27" s="26"/>
      <c r="JJX27" s="26"/>
      <c r="JJY27" s="26"/>
      <c r="JLN27" s="31"/>
      <c r="JLO27" s="26"/>
      <c r="JLP27" s="26"/>
      <c r="JLQ27" s="26"/>
      <c r="JNF27" s="31"/>
      <c r="JNG27" s="26"/>
      <c r="JNH27" s="26"/>
      <c r="JNI27" s="26"/>
      <c r="JOX27" s="31"/>
      <c r="JOY27" s="26"/>
      <c r="JOZ27" s="26"/>
      <c r="JPA27" s="26"/>
      <c r="JQP27" s="31"/>
      <c r="JQQ27" s="26"/>
      <c r="JQR27" s="26"/>
      <c r="JQS27" s="26"/>
      <c r="JSH27" s="31"/>
      <c r="JSI27" s="26"/>
      <c r="JSJ27" s="26"/>
      <c r="JSK27" s="26"/>
      <c r="JTZ27" s="31"/>
      <c r="JUA27" s="26"/>
      <c r="JUB27" s="26"/>
      <c r="JUC27" s="26"/>
      <c r="JVR27" s="31"/>
      <c r="JVS27" s="26"/>
      <c r="JVT27" s="26"/>
      <c r="JVU27" s="26"/>
      <c r="JXJ27" s="31"/>
      <c r="JXK27" s="26"/>
      <c r="JXL27" s="26"/>
      <c r="JXM27" s="26"/>
      <c r="JZB27" s="31"/>
      <c r="JZC27" s="26"/>
      <c r="JZD27" s="26"/>
      <c r="JZE27" s="26"/>
      <c r="KAT27" s="31"/>
      <c r="KAU27" s="26"/>
      <c r="KAV27" s="26"/>
      <c r="KAW27" s="26"/>
      <c r="KCL27" s="31"/>
      <c r="KCM27" s="26"/>
      <c r="KCN27" s="26"/>
      <c r="KCO27" s="26"/>
      <c r="KED27" s="31"/>
      <c r="KEE27" s="26"/>
      <c r="KEF27" s="26"/>
      <c r="KEG27" s="26"/>
      <c r="KFV27" s="31"/>
      <c r="KFW27" s="26"/>
      <c r="KFX27" s="26"/>
      <c r="KFY27" s="26"/>
      <c r="KHN27" s="31"/>
      <c r="KHO27" s="26"/>
      <c r="KHP27" s="26"/>
      <c r="KHQ27" s="26"/>
      <c r="KJF27" s="31"/>
      <c r="KJG27" s="26"/>
      <c r="KJH27" s="26"/>
      <c r="KJI27" s="26"/>
      <c r="KKX27" s="31"/>
      <c r="KKY27" s="26"/>
      <c r="KKZ27" s="26"/>
      <c r="KLA27" s="26"/>
      <c r="KMP27" s="31"/>
      <c r="KMQ27" s="26"/>
      <c r="KMR27" s="26"/>
      <c r="KMS27" s="26"/>
      <c r="KOH27" s="31"/>
      <c r="KOI27" s="26"/>
      <c r="KOJ27" s="26"/>
      <c r="KOK27" s="26"/>
      <c r="KPZ27" s="31"/>
      <c r="KQA27" s="26"/>
      <c r="KQB27" s="26"/>
      <c r="KQC27" s="26"/>
      <c r="KRR27" s="31"/>
      <c r="KRS27" s="26"/>
      <c r="KRT27" s="26"/>
      <c r="KRU27" s="26"/>
      <c r="KTJ27" s="31"/>
      <c r="KTK27" s="26"/>
      <c r="KTL27" s="26"/>
      <c r="KTM27" s="26"/>
      <c r="KVB27" s="31"/>
      <c r="KVC27" s="26"/>
      <c r="KVD27" s="26"/>
      <c r="KVE27" s="26"/>
      <c r="KWT27" s="31"/>
      <c r="KWU27" s="26"/>
      <c r="KWV27" s="26"/>
      <c r="KWW27" s="26"/>
      <c r="KYL27" s="31"/>
      <c r="KYM27" s="26"/>
      <c r="KYN27" s="26"/>
      <c r="KYO27" s="26"/>
      <c r="LAD27" s="31"/>
      <c r="LAE27" s="26"/>
      <c r="LAF27" s="26"/>
      <c r="LAG27" s="26"/>
      <c r="LBV27" s="31"/>
      <c r="LBW27" s="26"/>
      <c r="LBX27" s="26"/>
      <c r="LBY27" s="26"/>
      <c r="LDN27" s="31"/>
      <c r="LDO27" s="26"/>
      <c r="LDP27" s="26"/>
      <c r="LDQ27" s="26"/>
      <c r="LFF27" s="31"/>
      <c r="LFG27" s="26"/>
      <c r="LFH27" s="26"/>
      <c r="LFI27" s="26"/>
      <c r="LGX27" s="31"/>
      <c r="LGY27" s="26"/>
      <c r="LGZ27" s="26"/>
      <c r="LHA27" s="26"/>
      <c r="LIP27" s="31"/>
      <c r="LIQ27" s="26"/>
      <c r="LIR27" s="26"/>
      <c r="LIS27" s="26"/>
      <c r="LKH27" s="31"/>
      <c r="LKI27" s="26"/>
      <c r="LKJ27" s="26"/>
      <c r="LKK27" s="26"/>
      <c r="LLZ27" s="31"/>
      <c r="LMA27" s="26"/>
      <c r="LMB27" s="26"/>
      <c r="LMC27" s="26"/>
      <c r="LNR27" s="31"/>
      <c r="LNS27" s="26"/>
      <c r="LNT27" s="26"/>
      <c r="LNU27" s="26"/>
      <c r="LPJ27" s="31"/>
      <c r="LPK27" s="26"/>
      <c r="LPL27" s="26"/>
      <c r="LPM27" s="26"/>
      <c r="LRB27" s="31"/>
      <c r="LRC27" s="26"/>
      <c r="LRD27" s="26"/>
      <c r="LRE27" s="26"/>
      <c r="LST27" s="31"/>
      <c r="LSU27" s="26"/>
      <c r="LSV27" s="26"/>
      <c r="LSW27" s="26"/>
      <c r="LUL27" s="31"/>
      <c r="LUM27" s="26"/>
      <c r="LUN27" s="26"/>
      <c r="LUO27" s="26"/>
      <c r="LWD27" s="31"/>
      <c r="LWE27" s="26"/>
      <c r="LWF27" s="26"/>
      <c r="LWG27" s="26"/>
      <c r="LXV27" s="31"/>
      <c r="LXW27" s="26"/>
      <c r="LXX27" s="26"/>
      <c r="LXY27" s="26"/>
      <c r="LZN27" s="31"/>
      <c r="LZO27" s="26"/>
      <c r="LZP27" s="26"/>
      <c r="LZQ27" s="26"/>
      <c r="MBF27" s="31"/>
      <c r="MBG27" s="26"/>
      <c r="MBH27" s="26"/>
      <c r="MBI27" s="26"/>
      <c r="MCX27" s="31"/>
      <c r="MCY27" s="26"/>
      <c r="MCZ27" s="26"/>
      <c r="MDA27" s="26"/>
      <c r="MEP27" s="31"/>
      <c r="MEQ27" s="26"/>
      <c r="MER27" s="26"/>
      <c r="MES27" s="26"/>
      <c r="MGH27" s="31"/>
      <c r="MGI27" s="26"/>
      <c r="MGJ27" s="26"/>
      <c r="MGK27" s="26"/>
      <c r="MHZ27" s="31"/>
      <c r="MIA27" s="26"/>
      <c r="MIB27" s="26"/>
      <c r="MIC27" s="26"/>
      <c r="MJR27" s="31"/>
      <c r="MJS27" s="26"/>
      <c r="MJT27" s="26"/>
      <c r="MJU27" s="26"/>
      <c r="MLJ27" s="31"/>
      <c r="MLK27" s="26"/>
      <c r="MLL27" s="26"/>
      <c r="MLM27" s="26"/>
      <c r="MNB27" s="31"/>
      <c r="MNC27" s="26"/>
      <c r="MND27" s="26"/>
      <c r="MNE27" s="26"/>
      <c r="MOT27" s="31"/>
      <c r="MOU27" s="26"/>
      <c r="MOV27" s="26"/>
      <c r="MOW27" s="26"/>
      <c r="MQL27" s="31"/>
      <c r="MQM27" s="26"/>
      <c r="MQN27" s="26"/>
      <c r="MQO27" s="26"/>
      <c r="MSD27" s="31"/>
      <c r="MSE27" s="26"/>
      <c r="MSF27" s="26"/>
      <c r="MSG27" s="26"/>
      <c r="MTV27" s="31"/>
      <c r="MTW27" s="26"/>
      <c r="MTX27" s="26"/>
      <c r="MTY27" s="26"/>
      <c r="MVN27" s="31"/>
      <c r="MVO27" s="26"/>
      <c r="MVP27" s="26"/>
      <c r="MVQ27" s="26"/>
      <c r="MXF27" s="31"/>
      <c r="MXG27" s="26"/>
      <c r="MXH27" s="26"/>
      <c r="MXI27" s="26"/>
      <c r="MYX27" s="31"/>
      <c r="MYY27" s="26"/>
      <c r="MYZ27" s="26"/>
      <c r="MZA27" s="26"/>
      <c r="NAP27" s="31"/>
      <c r="NAQ27" s="26"/>
      <c r="NAR27" s="26"/>
      <c r="NAS27" s="26"/>
      <c r="NCH27" s="31"/>
      <c r="NCI27" s="26"/>
      <c r="NCJ27" s="26"/>
      <c r="NCK27" s="26"/>
      <c r="NDZ27" s="31"/>
      <c r="NEA27" s="26"/>
      <c r="NEB27" s="26"/>
      <c r="NEC27" s="26"/>
      <c r="NFR27" s="31"/>
      <c r="NFS27" s="26"/>
      <c r="NFT27" s="26"/>
      <c r="NFU27" s="26"/>
      <c r="NHJ27" s="31"/>
      <c r="NHK27" s="26"/>
      <c r="NHL27" s="26"/>
      <c r="NHM27" s="26"/>
      <c r="NJB27" s="31"/>
      <c r="NJC27" s="26"/>
      <c r="NJD27" s="26"/>
      <c r="NJE27" s="26"/>
      <c r="NKT27" s="31"/>
      <c r="NKU27" s="26"/>
      <c r="NKV27" s="26"/>
      <c r="NKW27" s="26"/>
      <c r="NML27" s="31"/>
      <c r="NMM27" s="26"/>
      <c r="NMN27" s="26"/>
      <c r="NMO27" s="26"/>
      <c r="NOD27" s="31"/>
      <c r="NOE27" s="26"/>
      <c r="NOF27" s="26"/>
      <c r="NOG27" s="26"/>
      <c r="NPV27" s="31"/>
      <c r="NPW27" s="26"/>
      <c r="NPX27" s="26"/>
      <c r="NPY27" s="26"/>
      <c r="NRN27" s="31"/>
      <c r="NRO27" s="26"/>
      <c r="NRP27" s="26"/>
      <c r="NRQ27" s="26"/>
      <c r="NTF27" s="31"/>
      <c r="NTG27" s="26"/>
      <c r="NTH27" s="26"/>
      <c r="NTI27" s="26"/>
      <c r="NUX27" s="31"/>
      <c r="NUY27" s="26"/>
      <c r="NUZ27" s="26"/>
      <c r="NVA27" s="26"/>
      <c r="NWP27" s="31"/>
      <c r="NWQ27" s="26"/>
      <c r="NWR27" s="26"/>
      <c r="NWS27" s="26"/>
      <c r="NYH27" s="31"/>
      <c r="NYI27" s="26"/>
      <c r="NYJ27" s="26"/>
      <c r="NYK27" s="26"/>
      <c r="NZZ27" s="31"/>
      <c r="OAA27" s="26"/>
      <c r="OAB27" s="26"/>
      <c r="OAC27" s="26"/>
      <c r="OBR27" s="31"/>
      <c r="OBS27" s="26"/>
      <c r="OBT27" s="26"/>
      <c r="OBU27" s="26"/>
      <c r="ODJ27" s="31"/>
      <c r="ODK27" s="26"/>
      <c r="ODL27" s="26"/>
      <c r="ODM27" s="26"/>
      <c r="OFB27" s="31"/>
      <c r="OFC27" s="26"/>
      <c r="OFD27" s="26"/>
      <c r="OFE27" s="26"/>
      <c r="OGT27" s="31"/>
      <c r="OGU27" s="26"/>
      <c r="OGV27" s="26"/>
      <c r="OGW27" s="26"/>
      <c r="OIL27" s="31"/>
      <c r="OIM27" s="26"/>
      <c r="OIN27" s="26"/>
      <c r="OIO27" s="26"/>
      <c r="OKD27" s="31"/>
      <c r="OKE27" s="26"/>
      <c r="OKF27" s="26"/>
      <c r="OKG27" s="26"/>
      <c r="OLV27" s="31"/>
      <c r="OLW27" s="26"/>
      <c r="OLX27" s="26"/>
      <c r="OLY27" s="26"/>
      <c r="ONN27" s="31"/>
      <c r="ONO27" s="26"/>
      <c r="ONP27" s="26"/>
      <c r="ONQ27" s="26"/>
      <c r="OPF27" s="31"/>
      <c r="OPG27" s="26"/>
      <c r="OPH27" s="26"/>
      <c r="OPI27" s="26"/>
      <c r="OQX27" s="31"/>
      <c r="OQY27" s="26"/>
      <c r="OQZ27" s="26"/>
      <c r="ORA27" s="26"/>
      <c r="OSP27" s="31"/>
      <c r="OSQ27" s="26"/>
      <c r="OSR27" s="26"/>
      <c r="OSS27" s="26"/>
      <c r="OUH27" s="31"/>
      <c r="OUI27" s="26"/>
      <c r="OUJ27" s="26"/>
      <c r="OUK27" s="26"/>
      <c r="OVZ27" s="31"/>
      <c r="OWA27" s="26"/>
      <c r="OWB27" s="26"/>
      <c r="OWC27" s="26"/>
      <c r="OXR27" s="31"/>
      <c r="OXS27" s="26"/>
      <c r="OXT27" s="26"/>
      <c r="OXU27" s="26"/>
      <c r="OZJ27" s="31"/>
      <c r="OZK27" s="26"/>
      <c r="OZL27" s="26"/>
      <c r="OZM27" s="26"/>
      <c r="PBB27" s="31"/>
      <c r="PBC27" s="26"/>
      <c r="PBD27" s="26"/>
      <c r="PBE27" s="26"/>
      <c r="PCT27" s="31"/>
      <c r="PCU27" s="26"/>
      <c r="PCV27" s="26"/>
      <c r="PCW27" s="26"/>
      <c r="PEL27" s="31"/>
      <c r="PEM27" s="26"/>
      <c r="PEN27" s="26"/>
      <c r="PEO27" s="26"/>
      <c r="PGD27" s="31"/>
      <c r="PGE27" s="26"/>
      <c r="PGF27" s="26"/>
      <c r="PGG27" s="26"/>
      <c r="PHV27" s="31"/>
      <c r="PHW27" s="26"/>
      <c r="PHX27" s="26"/>
      <c r="PHY27" s="26"/>
      <c r="PJN27" s="31"/>
      <c r="PJO27" s="26"/>
      <c r="PJP27" s="26"/>
      <c r="PJQ27" s="26"/>
      <c r="PLF27" s="31"/>
      <c r="PLG27" s="26"/>
      <c r="PLH27" s="26"/>
      <c r="PLI27" s="26"/>
      <c r="PMX27" s="31"/>
      <c r="PMY27" s="26"/>
      <c r="PMZ27" s="26"/>
      <c r="PNA27" s="26"/>
      <c r="POP27" s="31"/>
      <c r="POQ27" s="26"/>
      <c r="POR27" s="26"/>
      <c r="POS27" s="26"/>
      <c r="PQH27" s="31"/>
      <c r="PQI27" s="26"/>
      <c r="PQJ27" s="26"/>
      <c r="PQK27" s="26"/>
      <c r="PRZ27" s="31"/>
      <c r="PSA27" s="26"/>
      <c r="PSB27" s="26"/>
      <c r="PSC27" s="26"/>
      <c r="PTR27" s="31"/>
      <c r="PTS27" s="26"/>
      <c r="PTT27" s="26"/>
      <c r="PTU27" s="26"/>
      <c r="PVJ27" s="31"/>
      <c r="PVK27" s="26"/>
      <c r="PVL27" s="26"/>
      <c r="PVM27" s="26"/>
      <c r="PXB27" s="31"/>
      <c r="PXC27" s="26"/>
      <c r="PXD27" s="26"/>
      <c r="PXE27" s="26"/>
      <c r="PYT27" s="31"/>
      <c r="PYU27" s="26"/>
      <c r="PYV27" s="26"/>
      <c r="PYW27" s="26"/>
      <c r="QAL27" s="31"/>
      <c r="QAM27" s="26"/>
      <c r="QAN27" s="26"/>
      <c r="QAO27" s="26"/>
      <c r="QCD27" s="31"/>
      <c r="QCE27" s="26"/>
      <c r="QCF27" s="26"/>
      <c r="QCG27" s="26"/>
      <c r="QDV27" s="31"/>
      <c r="QDW27" s="26"/>
      <c r="QDX27" s="26"/>
      <c r="QDY27" s="26"/>
      <c r="QFN27" s="31"/>
      <c r="QFO27" s="26"/>
      <c r="QFP27" s="26"/>
      <c r="QFQ27" s="26"/>
      <c r="QHF27" s="31"/>
      <c r="QHG27" s="26"/>
      <c r="QHH27" s="26"/>
      <c r="QHI27" s="26"/>
      <c r="QIX27" s="31"/>
      <c r="QIY27" s="26"/>
      <c r="QIZ27" s="26"/>
      <c r="QJA27" s="26"/>
      <c r="QKP27" s="31"/>
      <c r="QKQ27" s="26"/>
      <c r="QKR27" s="26"/>
      <c r="QKS27" s="26"/>
      <c r="QMH27" s="31"/>
      <c r="QMI27" s="26"/>
      <c r="QMJ27" s="26"/>
      <c r="QMK27" s="26"/>
      <c r="QNZ27" s="31"/>
      <c r="QOA27" s="26"/>
      <c r="QOB27" s="26"/>
      <c r="QOC27" s="26"/>
      <c r="QPR27" s="31"/>
      <c r="QPS27" s="26"/>
      <c r="QPT27" s="26"/>
      <c r="QPU27" s="26"/>
      <c r="QRJ27" s="31"/>
      <c r="QRK27" s="26"/>
      <c r="QRL27" s="26"/>
      <c r="QRM27" s="26"/>
      <c r="QTB27" s="31"/>
      <c r="QTC27" s="26"/>
      <c r="QTD27" s="26"/>
      <c r="QTE27" s="26"/>
      <c r="QUT27" s="31"/>
      <c r="QUU27" s="26"/>
      <c r="QUV27" s="26"/>
      <c r="QUW27" s="26"/>
      <c r="QWL27" s="31"/>
      <c r="QWM27" s="26"/>
      <c r="QWN27" s="26"/>
      <c r="QWO27" s="26"/>
      <c r="QYD27" s="31"/>
      <c r="QYE27" s="26"/>
      <c r="QYF27" s="26"/>
      <c r="QYG27" s="26"/>
      <c r="QZV27" s="31"/>
      <c r="QZW27" s="26"/>
      <c r="QZX27" s="26"/>
      <c r="QZY27" s="26"/>
      <c r="RBN27" s="31"/>
      <c r="RBO27" s="26"/>
      <c r="RBP27" s="26"/>
      <c r="RBQ27" s="26"/>
      <c r="RDF27" s="31"/>
      <c r="RDG27" s="26"/>
      <c r="RDH27" s="26"/>
      <c r="RDI27" s="26"/>
      <c r="REX27" s="31"/>
      <c r="REY27" s="26"/>
      <c r="REZ27" s="26"/>
      <c r="RFA27" s="26"/>
      <c r="RGP27" s="31"/>
      <c r="RGQ27" s="26"/>
      <c r="RGR27" s="26"/>
      <c r="RGS27" s="26"/>
      <c r="RIH27" s="31"/>
      <c r="RII27" s="26"/>
      <c r="RIJ27" s="26"/>
      <c r="RIK27" s="26"/>
      <c r="RJZ27" s="31"/>
      <c r="RKA27" s="26"/>
      <c r="RKB27" s="26"/>
      <c r="RKC27" s="26"/>
      <c r="RLR27" s="31"/>
      <c r="RLS27" s="26"/>
      <c r="RLT27" s="26"/>
      <c r="RLU27" s="26"/>
      <c r="RNJ27" s="31"/>
      <c r="RNK27" s="26"/>
      <c r="RNL27" s="26"/>
      <c r="RNM27" s="26"/>
      <c r="RPB27" s="31"/>
      <c r="RPC27" s="26"/>
      <c r="RPD27" s="26"/>
      <c r="RPE27" s="26"/>
      <c r="RQT27" s="31"/>
      <c r="RQU27" s="26"/>
      <c r="RQV27" s="26"/>
      <c r="RQW27" s="26"/>
      <c r="RSL27" s="31"/>
      <c r="RSM27" s="26"/>
      <c r="RSN27" s="26"/>
      <c r="RSO27" s="26"/>
      <c r="RUD27" s="31"/>
      <c r="RUE27" s="26"/>
      <c r="RUF27" s="26"/>
      <c r="RUG27" s="26"/>
      <c r="RVV27" s="31"/>
      <c r="RVW27" s="26"/>
      <c r="RVX27" s="26"/>
      <c r="RVY27" s="26"/>
      <c r="RXN27" s="31"/>
      <c r="RXO27" s="26"/>
      <c r="RXP27" s="26"/>
      <c r="RXQ27" s="26"/>
      <c r="RZF27" s="31"/>
      <c r="RZG27" s="26"/>
      <c r="RZH27" s="26"/>
      <c r="RZI27" s="26"/>
      <c r="SAX27" s="31"/>
      <c r="SAY27" s="26"/>
      <c r="SAZ27" s="26"/>
      <c r="SBA27" s="26"/>
      <c r="SCP27" s="31"/>
      <c r="SCQ27" s="26"/>
      <c r="SCR27" s="26"/>
      <c r="SCS27" s="26"/>
      <c r="SEH27" s="31"/>
      <c r="SEI27" s="26"/>
      <c r="SEJ27" s="26"/>
      <c r="SEK27" s="26"/>
      <c r="SFZ27" s="31"/>
      <c r="SGA27" s="26"/>
      <c r="SGB27" s="26"/>
      <c r="SGC27" s="26"/>
      <c r="SHR27" s="31"/>
      <c r="SHS27" s="26"/>
      <c r="SHT27" s="26"/>
      <c r="SHU27" s="26"/>
      <c r="SJJ27" s="31"/>
      <c r="SJK27" s="26"/>
      <c r="SJL27" s="26"/>
      <c r="SJM27" s="26"/>
      <c r="SLB27" s="31"/>
      <c r="SLC27" s="26"/>
      <c r="SLD27" s="26"/>
      <c r="SLE27" s="26"/>
      <c r="SMT27" s="31"/>
      <c r="SMU27" s="26"/>
      <c r="SMV27" s="26"/>
      <c r="SMW27" s="26"/>
      <c r="SOL27" s="31"/>
      <c r="SOM27" s="26"/>
      <c r="SON27" s="26"/>
      <c r="SOO27" s="26"/>
      <c r="SQD27" s="31"/>
      <c r="SQE27" s="26"/>
      <c r="SQF27" s="26"/>
      <c r="SQG27" s="26"/>
      <c r="SRV27" s="31"/>
      <c r="SRW27" s="26"/>
      <c r="SRX27" s="26"/>
      <c r="SRY27" s="26"/>
      <c r="STN27" s="31"/>
      <c r="STO27" s="26"/>
      <c r="STP27" s="26"/>
      <c r="STQ27" s="26"/>
      <c r="SVF27" s="31"/>
      <c r="SVG27" s="26"/>
      <c r="SVH27" s="26"/>
      <c r="SVI27" s="26"/>
      <c r="SWX27" s="31"/>
      <c r="SWY27" s="26"/>
      <c r="SWZ27" s="26"/>
      <c r="SXA27" s="26"/>
      <c r="SYP27" s="31"/>
      <c r="SYQ27" s="26"/>
      <c r="SYR27" s="26"/>
      <c r="SYS27" s="26"/>
      <c r="TAH27" s="31"/>
      <c r="TAI27" s="26"/>
      <c r="TAJ27" s="26"/>
      <c r="TAK27" s="26"/>
      <c r="TBZ27" s="31"/>
      <c r="TCA27" s="26"/>
      <c r="TCB27" s="26"/>
      <c r="TCC27" s="26"/>
      <c r="TDR27" s="31"/>
      <c r="TDS27" s="26"/>
      <c r="TDT27" s="26"/>
      <c r="TDU27" s="26"/>
      <c r="TFJ27" s="31"/>
      <c r="TFK27" s="26"/>
      <c r="TFL27" s="26"/>
      <c r="TFM27" s="26"/>
      <c r="THB27" s="31"/>
      <c r="THC27" s="26"/>
      <c r="THD27" s="26"/>
      <c r="THE27" s="26"/>
      <c r="TIT27" s="31"/>
      <c r="TIU27" s="26"/>
      <c r="TIV27" s="26"/>
      <c r="TIW27" s="26"/>
      <c r="TKL27" s="31"/>
      <c r="TKM27" s="26"/>
      <c r="TKN27" s="26"/>
      <c r="TKO27" s="26"/>
      <c r="TMD27" s="31"/>
      <c r="TME27" s="26"/>
      <c r="TMF27" s="26"/>
      <c r="TMG27" s="26"/>
      <c r="TNV27" s="31"/>
      <c r="TNW27" s="26"/>
      <c r="TNX27" s="26"/>
      <c r="TNY27" s="26"/>
      <c r="TPN27" s="31"/>
      <c r="TPO27" s="26"/>
      <c r="TPP27" s="26"/>
      <c r="TPQ27" s="26"/>
      <c r="TRF27" s="31"/>
      <c r="TRG27" s="26"/>
      <c r="TRH27" s="26"/>
      <c r="TRI27" s="26"/>
      <c r="TSX27" s="31"/>
      <c r="TSY27" s="26"/>
      <c r="TSZ27" s="26"/>
      <c r="TTA27" s="26"/>
      <c r="TUP27" s="31"/>
      <c r="TUQ27" s="26"/>
      <c r="TUR27" s="26"/>
      <c r="TUS27" s="26"/>
      <c r="TWH27" s="31"/>
      <c r="TWI27" s="26"/>
      <c r="TWJ27" s="26"/>
      <c r="TWK27" s="26"/>
      <c r="TXZ27" s="31"/>
      <c r="TYA27" s="26"/>
      <c r="TYB27" s="26"/>
      <c r="TYC27" s="26"/>
      <c r="TZR27" s="31"/>
      <c r="TZS27" s="26"/>
      <c r="TZT27" s="26"/>
      <c r="TZU27" s="26"/>
      <c r="UBJ27" s="31"/>
      <c r="UBK27" s="26"/>
      <c r="UBL27" s="26"/>
      <c r="UBM27" s="26"/>
      <c r="UDB27" s="31"/>
      <c r="UDC27" s="26"/>
      <c r="UDD27" s="26"/>
      <c r="UDE27" s="26"/>
      <c r="UET27" s="31"/>
      <c r="UEU27" s="26"/>
      <c r="UEV27" s="26"/>
      <c r="UEW27" s="26"/>
      <c r="UGL27" s="31"/>
      <c r="UGM27" s="26"/>
      <c r="UGN27" s="26"/>
      <c r="UGO27" s="26"/>
      <c r="UID27" s="31"/>
      <c r="UIE27" s="26"/>
      <c r="UIF27" s="26"/>
      <c r="UIG27" s="26"/>
      <c r="UJV27" s="31"/>
      <c r="UJW27" s="26"/>
      <c r="UJX27" s="26"/>
      <c r="UJY27" s="26"/>
      <c r="ULN27" s="31"/>
      <c r="ULO27" s="26"/>
      <c r="ULP27" s="26"/>
      <c r="ULQ27" s="26"/>
      <c r="UNF27" s="31"/>
      <c r="UNG27" s="26"/>
      <c r="UNH27" s="26"/>
      <c r="UNI27" s="26"/>
      <c r="UOX27" s="31"/>
      <c r="UOY27" s="26"/>
      <c r="UOZ27" s="26"/>
      <c r="UPA27" s="26"/>
      <c r="UQP27" s="31"/>
      <c r="UQQ27" s="26"/>
      <c r="UQR27" s="26"/>
      <c r="UQS27" s="26"/>
      <c r="USH27" s="31"/>
      <c r="USI27" s="26"/>
      <c r="USJ27" s="26"/>
      <c r="USK27" s="26"/>
      <c r="UTZ27" s="31"/>
      <c r="UUA27" s="26"/>
      <c r="UUB27" s="26"/>
      <c r="UUC27" s="26"/>
      <c r="UVR27" s="31"/>
      <c r="UVS27" s="26"/>
      <c r="UVT27" s="26"/>
      <c r="UVU27" s="26"/>
      <c r="UXJ27" s="31"/>
      <c r="UXK27" s="26"/>
      <c r="UXL27" s="26"/>
      <c r="UXM27" s="26"/>
      <c r="UZB27" s="31"/>
      <c r="UZC27" s="26"/>
      <c r="UZD27" s="26"/>
      <c r="UZE27" s="26"/>
      <c r="VAT27" s="31"/>
      <c r="VAU27" s="26"/>
      <c r="VAV27" s="26"/>
      <c r="VAW27" s="26"/>
      <c r="VCL27" s="31"/>
      <c r="VCM27" s="26"/>
      <c r="VCN27" s="26"/>
      <c r="VCO27" s="26"/>
      <c r="VED27" s="31"/>
      <c r="VEE27" s="26"/>
      <c r="VEF27" s="26"/>
      <c r="VEG27" s="26"/>
      <c r="VFV27" s="31"/>
      <c r="VFW27" s="26"/>
      <c r="VFX27" s="26"/>
      <c r="VFY27" s="26"/>
      <c r="VHN27" s="31"/>
      <c r="VHO27" s="26"/>
      <c r="VHP27" s="26"/>
      <c r="VHQ27" s="26"/>
      <c r="VJF27" s="31"/>
      <c r="VJG27" s="26"/>
      <c r="VJH27" s="26"/>
      <c r="VJI27" s="26"/>
      <c r="VKX27" s="31"/>
      <c r="VKY27" s="26"/>
      <c r="VKZ27" s="26"/>
      <c r="VLA27" s="26"/>
      <c r="VMP27" s="31"/>
      <c r="VMQ27" s="26"/>
      <c r="VMR27" s="26"/>
      <c r="VMS27" s="26"/>
      <c r="VOH27" s="31"/>
      <c r="VOI27" s="26"/>
      <c r="VOJ27" s="26"/>
      <c r="VOK27" s="26"/>
      <c r="VPZ27" s="31"/>
      <c r="VQA27" s="26"/>
      <c r="VQB27" s="26"/>
      <c r="VQC27" s="26"/>
      <c r="VRR27" s="31"/>
      <c r="VRS27" s="26"/>
      <c r="VRT27" s="26"/>
      <c r="VRU27" s="26"/>
      <c r="VTJ27" s="31"/>
      <c r="VTK27" s="26"/>
      <c r="VTL27" s="26"/>
      <c r="VTM27" s="26"/>
      <c r="VVB27" s="31"/>
      <c r="VVC27" s="26"/>
      <c r="VVD27" s="26"/>
      <c r="VVE27" s="26"/>
      <c r="VWT27" s="31"/>
      <c r="VWU27" s="26"/>
      <c r="VWV27" s="26"/>
      <c r="VWW27" s="26"/>
      <c r="VYL27" s="31"/>
      <c r="VYM27" s="26"/>
      <c r="VYN27" s="26"/>
      <c r="VYO27" s="26"/>
      <c r="WAD27" s="31"/>
      <c r="WAE27" s="26"/>
      <c r="WAF27" s="26"/>
      <c r="WAG27" s="26"/>
      <c r="WBV27" s="31"/>
      <c r="WBW27" s="26"/>
      <c r="WBX27" s="26"/>
      <c r="WBY27" s="26"/>
      <c r="WDN27" s="31"/>
      <c r="WDO27" s="26"/>
      <c r="WDP27" s="26"/>
      <c r="WDQ27" s="26"/>
      <c r="WFF27" s="31"/>
      <c r="WFG27" s="26"/>
      <c r="WFH27" s="26"/>
      <c r="WFI27" s="26"/>
      <c r="WGX27" s="31"/>
      <c r="WGY27" s="26"/>
      <c r="WGZ27" s="26"/>
      <c r="WHA27" s="26"/>
      <c r="WIP27" s="31"/>
      <c r="WIQ27" s="26"/>
      <c r="WIR27" s="26"/>
      <c r="WIS27" s="26"/>
      <c r="WKH27" s="31"/>
      <c r="WKI27" s="26"/>
      <c r="WKJ27" s="26"/>
      <c r="WKK27" s="26"/>
      <c r="WLZ27" s="31"/>
      <c r="WMA27" s="26"/>
      <c r="WMB27" s="26"/>
      <c r="WMC27" s="26"/>
      <c r="WNR27" s="31"/>
      <c r="WNS27" s="26"/>
      <c r="WNT27" s="26"/>
      <c r="WNU27" s="26"/>
      <c r="WPJ27" s="31"/>
      <c r="WPK27" s="26"/>
      <c r="WPL27" s="26"/>
      <c r="WPM27" s="26"/>
      <c r="WRB27" s="31"/>
      <c r="WRC27" s="26"/>
      <c r="WRD27" s="26"/>
      <c r="WRE27" s="26"/>
      <c r="WST27" s="31"/>
      <c r="WSU27" s="26"/>
      <c r="WSV27" s="26"/>
      <c r="WSW27" s="26"/>
      <c r="WUL27" s="31"/>
      <c r="WUM27" s="26"/>
      <c r="WUN27" s="26"/>
      <c r="WUO27" s="26"/>
      <c r="WWD27" s="31"/>
      <c r="WWE27" s="26"/>
      <c r="WWF27" s="26"/>
      <c r="WWG27" s="26"/>
      <c r="WXV27" s="31"/>
      <c r="WXW27" s="26"/>
      <c r="WXX27" s="26"/>
      <c r="WXY27" s="26"/>
      <c r="WZN27" s="31"/>
      <c r="WZO27" s="26"/>
      <c r="WZP27" s="26"/>
      <c r="WZQ27" s="26"/>
      <c r="XBF27" s="31"/>
      <c r="XBG27" s="26"/>
      <c r="XBH27" s="26"/>
      <c r="XBI27" s="26"/>
      <c r="XCX27" s="31"/>
      <c r="XCY27" s="26"/>
      <c r="XCZ27" s="26"/>
      <c r="XDA27" s="26"/>
      <c r="XEP27" s="31"/>
      <c r="XEQ27" s="26"/>
      <c r="XER27" s="26"/>
      <c r="XES27" s="26"/>
    </row>
    <row r="28" spans="1:1017 1058:2029 2070:3041 3082:5109 5150:6121 6162:7133 7174:8189 8230:9201 9242:10213 10254:11225 11266:12281 12322:13293 13334:14305 14346:16373" x14ac:dyDescent="0.2">
      <c r="A28" s="4" t="s">
        <v>63</v>
      </c>
      <c r="B28" s="304">
        <f>'Бюджет '!F24</f>
        <v>1260033986.6600001</v>
      </c>
      <c r="C28" s="52">
        <f t="shared" si="9"/>
        <v>1260033986.6600001</v>
      </c>
      <c r="D28" s="26"/>
      <c r="E28" s="26"/>
      <c r="F28" s="3">
        <f>F29*$B$28</f>
        <v>0</v>
      </c>
      <c r="G28" s="3">
        <f t="shared" ref="G28:AS28" si="17">G29*$B$28</f>
        <v>0</v>
      </c>
      <c r="H28" s="3">
        <f t="shared" si="17"/>
        <v>0</v>
      </c>
      <c r="I28" s="3">
        <f t="shared" si="17"/>
        <v>0</v>
      </c>
      <c r="J28" s="3">
        <f t="shared" si="17"/>
        <v>0</v>
      </c>
      <c r="K28" s="3">
        <f t="shared" si="17"/>
        <v>0</v>
      </c>
      <c r="L28" s="3">
        <f t="shared" si="17"/>
        <v>0</v>
      </c>
      <c r="M28" s="3">
        <f t="shared" si="17"/>
        <v>630016993.33000004</v>
      </c>
      <c r="N28" s="3">
        <f t="shared" si="17"/>
        <v>630016993.33000004</v>
      </c>
      <c r="O28" s="3">
        <f t="shared" si="17"/>
        <v>0</v>
      </c>
      <c r="P28" s="3">
        <f t="shared" si="17"/>
        <v>0</v>
      </c>
      <c r="Q28" s="3">
        <f t="shared" si="17"/>
        <v>0</v>
      </c>
      <c r="R28" s="3">
        <f t="shared" si="17"/>
        <v>0</v>
      </c>
      <c r="S28" s="3">
        <f t="shared" si="17"/>
        <v>0</v>
      </c>
      <c r="T28" s="3">
        <f t="shared" si="17"/>
        <v>0</v>
      </c>
      <c r="U28" s="3">
        <f t="shared" si="17"/>
        <v>0</v>
      </c>
      <c r="V28" s="3">
        <f t="shared" si="17"/>
        <v>0</v>
      </c>
      <c r="W28" s="3">
        <f t="shared" si="17"/>
        <v>0</v>
      </c>
      <c r="X28" s="3">
        <f t="shared" si="17"/>
        <v>0</v>
      </c>
      <c r="Y28" s="3">
        <f t="shared" si="17"/>
        <v>0</v>
      </c>
      <c r="Z28" s="3">
        <f t="shared" si="17"/>
        <v>0</v>
      </c>
      <c r="AA28" s="3">
        <f t="shared" si="17"/>
        <v>0</v>
      </c>
      <c r="AB28" s="3">
        <f t="shared" si="17"/>
        <v>0</v>
      </c>
      <c r="AC28" s="3">
        <f t="shared" si="17"/>
        <v>0</v>
      </c>
      <c r="AD28" s="3">
        <f t="shared" si="17"/>
        <v>0</v>
      </c>
      <c r="AE28" s="3">
        <f t="shared" si="17"/>
        <v>0</v>
      </c>
      <c r="AF28" s="3">
        <f t="shared" si="17"/>
        <v>0</v>
      </c>
      <c r="AG28" s="3">
        <f t="shared" si="17"/>
        <v>0</v>
      </c>
      <c r="AH28" s="3">
        <f t="shared" si="17"/>
        <v>0</v>
      </c>
      <c r="AI28" s="3">
        <f t="shared" si="17"/>
        <v>0</v>
      </c>
      <c r="AJ28" s="3">
        <f t="shared" si="17"/>
        <v>0</v>
      </c>
      <c r="AK28" s="3">
        <f t="shared" si="17"/>
        <v>0</v>
      </c>
      <c r="AL28" s="3">
        <f t="shared" si="17"/>
        <v>0</v>
      </c>
      <c r="AM28" s="3">
        <f t="shared" si="17"/>
        <v>0</v>
      </c>
      <c r="AN28" s="3">
        <f t="shared" si="17"/>
        <v>0</v>
      </c>
      <c r="AO28" s="3">
        <f t="shared" si="17"/>
        <v>0</v>
      </c>
      <c r="AP28" s="3">
        <f t="shared" si="17"/>
        <v>0</v>
      </c>
      <c r="AQ28" s="3">
        <f t="shared" si="17"/>
        <v>0</v>
      </c>
      <c r="AR28" s="3">
        <f t="shared" si="17"/>
        <v>0</v>
      </c>
      <c r="AS28" s="3">
        <f t="shared" si="17"/>
        <v>0</v>
      </c>
    </row>
    <row r="29" spans="1:1017 1058:2029 2070:3041 3082:5109 5150:6121 6162:7133 7174:8189 8230:9201 9242:10213 10254:11225 11266:12281 12322:13293 13334:14305 14346:16373" s="57" customFormat="1" x14ac:dyDescent="0.2">
      <c r="A29" s="54" t="s">
        <v>81</v>
      </c>
      <c r="B29" s="54"/>
      <c r="C29" s="87">
        <f t="shared" si="9"/>
        <v>1</v>
      </c>
      <c r="D29" s="55"/>
      <c r="E29" s="55"/>
      <c r="F29" s="56"/>
      <c r="G29" s="56"/>
      <c r="H29" s="56"/>
      <c r="I29" s="56"/>
      <c r="J29" s="56"/>
      <c r="K29" s="56"/>
      <c r="L29" s="56"/>
      <c r="M29" s="56">
        <v>0.5</v>
      </c>
      <c r="N29" s="56">
        <v>0.5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</row>
    <row r="30" spans="1:1017 1058:2029 2070:3041 3082:5109 5150:6121 6162:7133 7174:8189 8230:9201 9242:10213 10254:11225 11266:12281 12322:13293 13334:14305 14346:16373" s="57" customFormat="1" x14ac:dyDescent="0.2">
      <c r="A30" s="4" t="s">
        <v>100</v>
      </c>
      <c r="B30" s="304">
        <f>'Бюджет '!F25</f>
        <v>0</v>
      </c>
      <c r="C30" s="52">
        <f t="shared" si="9"/>
        <v>0</v>
      </c>
      <c r="D30" s="55"/>
      <c r="E30" s="55"/>
      <c r="F30" s="3">
        <f>F31*$B$30</f>
        <v>0</v>
      </c>
      <c r="G30" s="3">
        <f t="shared" ref="G30:AS30" si="18">G31*$B$30</f>
        <v>0</v>
      </c>
      <c r="H30" s="3">
        <f t="shared" si="18"/>
        <v>0</v>
      </c>
      <c r="I30" s="3">
        <f t="shared" si="18"/>
        <v>0</v>
      </c>
      <c r="J30" s="3">
        <f t="shared" si="18"/>
        <v>0</v>
      </c>
      <c r="K30" s="3">
        <f t="shared" si="18"/>
        <v>0</v>
      </c>
      <c r="L30" s="3">
        <f t="shared" si="18"/>
        <v>0</v>
      </c>
      <c r="M30" s="3">
        <f t="shared" si="18"/>
        <v>0</v>
      </c>
      <c r="N30" s="3">
        <f t="shared" si="18"/>
        <v>0</v>
      </c>
      <c r="O30" s="3">
        <f t="shared" si="18"/>
        <v>0</v>
      </c>
      <c r="P30" s="3">
        <f t="shared" si="18"/>
        <v>0</v>
      </c>
      <c r="Q30" s="3">
        <f t="shared" si="18"/>
        <v>0</v>
      </c>
      <c r="R30" s="3">
        <f t="shared" si="18"/>
        <v>0</v>
      </c>
      <c r="S30" s="3">
        <f t="shared" si="18"/>
        <v>0</v>
      </c>
      <c r="T30" s="3">
        <f t="shared" si="18"/>
        <v>0</v>
      </c>
      <c r="U30" s="3">
        <f t="shared" si="18"/>
        <v>0</v>
      </c>
      <c r="V30" s="3">
        <f t="shared" si="18"/>
        <v>0</v>
      </c>
      <c r="W30" s="3">
        <f t="shared" si="18"/>
        <v>0</v>
      </c>
      <c r="X30" s="3">
        <f t="shared" si="18"/>
        <v>0</v>
      </c>
      <c r="Y30" s="3">
        <f t="shared" si="18"/>
        <v>0</v>
      </c>
      <c r="Z30" s="3">
        <f t="shared" si="18"/>
        <v>0</v>
      </c>
      <c r="AA30" s="3">
        <f t="shared" si="18"/>
        <v>0</v>
      </c>
      <c r="AB30" s="3">
        <f t="shared" si="18"/>
        <v>0</v>
      </c>
      <c r="AC30" s="3">
        <f t="shared" si="18"/>
        <v>0</v>
      </c>
      <c r="AD30" s="3">
        <f t="shared" si="18"/>
        <v>0</v>
      </c>
      <c r="AE30" s="3">
        <f t="shared" si="18"/>
        <v>0</v>
      </c>
      <c r="AF30" s="3">
        <f t="shared" si="18"/>
        <v>0</v>
      </c>
      <c r="AG30" s="3">
        <f t="shared" si="18"/>
        <v>0</v>
      </c>
      <c r="AH30" s="3">
        <f t="shared" si="18"/>
        <v>0</v>
      </c>
      <c r="AI30" s="3">
        <f t="shared" si="18"/>
        <v>0</v>
      </c>
      <c r="AJ30" s="3">
        <f t="shared" si="18"/>
        <v>0</v>
      </c>
      <c r="AK30" s="3">
        <f t="shared" si="18"/>
        <v>0</v>
      </c>
      <c r="AL30" s="3">
        <f t="shared" si="18"/>
        <v>0</v>
      </c>
      <c r="AM30" s="3">
        <f t="shared" si="18"/>
        <v>0</v>
      </c>
      <c r="AN30" s="3">
        <f t="shared" si="18"/>
        <v>0</v>
      </c>
      <c r="AO30" s="3">
        <f t="shared" si="18"/>
        <v>0</v>
      </c>
      <c r="AP30" s="3">
        <f t="shared" si="18"/>
        <v>0</v>
      </c>
      <c r="AQ30" s="3">
        <f t="shared" si="18"/>
        <v>0</v>
      </c>
      <c r="AR30" s="3">
        <f t="shared" si="18"/>
        <v>0</v>
      </c>
      <c r="AS30" s="3">
        <f t="shared" si="18"/>
        <v>0</v>
      </c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</row>
    <row r="31" spans="1:1017 1058:2029 2070:3041 3082:5109 5150:6121 6162:7133 7174:8189 8230:9201 9242:10213 10254:11225 11266:12281 12322:13293 13334:14305 14346:16373" s="57" customFormat="1" x14ac:dyDescent="0.2">
      <c r="A31" s="54" t="s">
        <v>81</v>
      </c>
      <c r="B31" s="54"/>
      <c r="C31" s="87">
        <f t="shared" si="9"/>
        <v>1</v>
      </c>
      <c r="D31" s="55"/>
      <c r="E31" s="55"/>
      <c r="F31" s="56"/>
      <c r="G31" s="56"/>
      <c r="H31" s="56"/>
      <c r="I31" s="56">
        <v>0</v>
      </c>
      <c r="J31" s="56">
        <v>0</v>
      </c>
      <c r="K31" s="56">
        <v>0</v>
      </c>
      <c r="L31" s="56">
        <v>0</v>
      </c>
      <c r="M31" s="56">
        <f>1/8</f>
        <v>0.125</v>
      </c>
      <c r="N31" s="56">
        <v>0.125</v>
      </c>
      <c r="O31" s="56">
        <v>0.125</v>
      </c>
      <c r="P31" s="56">
        <v>0.125</v>
      </c>
      <c r="Q31" s="56"/>
      <c r="R31" s="56"/>
      <c r="S31" s="56"/>
      <c r="T31" s="56">
        <v>0</v>
      </c>
      <c r="U31" s="56">
        <v>0</v>
      </c>
      <c r="V31" s="56">
        <v>0</v>
      </c>
      <c r="W31" s="56"/>
      <c r="X31" s="56">
        <v>0.25</v>
      </c>
      <c r="Y31" s="56">
        <v>0.25</v>
      </c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6"/>
    </row>
    <row r="32" spans="1:1017 1058:2029 2070:3041 3082:5109 5150:6121 6162:7133 7174:8189 8230:9201 9242:10213 10254:11225 11266:12281 12322:13293 13334:14305 14346:16373" ht="15.75" x14ac:dyDescent="0.25">
      <c r="A32" s="4" t="s">
        <v>64</v>
      </c>
      <c r="B32" s="304">
        <f>'Бюджет '!F26</f>
        <v>751140673</v>
      </c>
      <c r="C32" s="52">
        <f t="shared" si="9"/>
        <v>751140673</v>
      </c>
      <c r="D32" s="32"/>
      <c r="E32" s="32"/>
      <c r="F32" s="52">
        <f>F33*$B$32</f>
        <v>375570336.5</v>
      </c>
      <c r="G32" s="52">
        <f t="shared" ref="G32:AS32" si="19">G33*$B$32</f>
        <v>375570336.5</v>
      </c>
      <c r="H32" s="52">
        <f t="shared" si="19"/>
        <v>0</v>
      </c>
      <c r="I32" s="52">
        <f t="shared" si="19"/>
        <v>0</v>
      </c>
      <c r="J32" s="52">
        <f t="shared" si="19"/>
        <v>0</v>
      </c>
      <c r="K32" s="52">
        <f t="shared" si="19"/>
        <v>0</v>
      </c>
      <c r="L32" s="52">
        <f t="shared" si="19"/>
        <v>0</v>
      </c>
      <c r="M32" s="52">
        <f t="shared" si="19"/>
        <v>0</v>
      </c>
      <c r="N32" s="52">
        <f t="shared" si="19"/>
        <v>0</v>
      </c>
      <c r="O32" s="52">
        <f t="shared" si="19"/>
        <v>0</v>
      </c>
      <c r="P32" s="52">
        <f t="shared" si="19"/>
        <v>0</v>
      </c>
      <c r="Q32" s="52">
        <f t="shared" si="19"/>
        <v>0</v>
      </c>
      <c r="R32" s="52">
        <f t="shared" si="19"/>
        <v>0</v>
      </c>
      <c r="S32" s="52">
        <f t="shared" si="19"/>
        <v>0</v>
      </c>
      <c r="T32" s="52">
        <f t="shared" si="19"/>
        <v>0</v>
      </c>
      <c r="U32" s="52">
        <f t="shared" si="19"/>
        <v>0</v>
      </c>
      <c r="V32" s="52">
        <f t="shared" si="19"/>
        <v>0</v>
      </c>
      <c r="W32" s="52">
        <f t="shared" si="19"/>
        <v>0</v>
      </c>
      <c r="X32" s="52">
        <f t="shared" si="19"/>
        <v>0</v>
      </c>
      <c r="Y32" s="52">
        <f t="shared" si="19"/>
        <v>0</v>
      </c>
      <c r="Z32" s="52">
        <f t="shared" si="19"/>
        <v>0</v>
      </c>
      <c r="AA32" s="52">
        <f t="shared" si="19"/>
        <v>0</v>
      </c>
      <c r="AB32" s="52">
        <f t="shared" si="19"/>
        <v>0</v>
      </c>
      <c r="AC32" s="52">
        <f t="shared" si="19"/>
        <v>0</v>
      </c>
      <c r="AD32" s="52">
        <f t="shared" si="19"/>
        <v>0</v>
      </c>
      <c r="AE32" s="52">
        <f t="shared" si="19"/>
        <v>0</v>
      </c>
      <c r="AF32" s="52">
        <f t="shared" si="19"/>
        <v>0</v>
      </c>
      <c r="AG32" s="52">
        <f t="shared" si="19"/>
        <v>0</v>
      </c>
      <c r="AH32" s="52">
        <f t="shared" si="19"/>
        <v>0</v>
      </c>
      <c r="AI32" s="52">
        <f t="shared" si="19"/>
        <v>0</v>
      </c>
      <c r="AJ32" s="52">
        <f t="shared" si="19"/>
        <v>0</v>
      </c>
      <c r="AK32" s="52">
        <f t="shared" si="19"/>
        <v>0</v>
      </c>
      <c r="AL32" s="52">
        <f t="shared" si="19"/>
        <v>0</v>
      </c>
      <c r="AM32" s="52">
        <f t="shared" si="19"/>
        <v>0</v>
      </c>
      <c r="AN32" s="52">
        <f t="shared" si="19"/>
        <v>0</v>
      </c>
      <c r="AO32" s="52">
        <f t="shared" si="19"/>
        <v>0</v>
      </c>
      <c r="AP32" s="52">
        <f t="shared" si="19"/>
        <v>0</v>
      </c>
      <c r="AQ32" s="52">
        <f t="shared" si="19"/>
        <v>0</v>
      </c>
      <c r="AR32" s="52">
        <f t="shared" si="19"/>
        <v>0</v>
      </c>
      <c r="AS32" s="52">
        <f t="shared" si="19"/>
        <v>0</v>
      </c>
    </row>
    <row r="33" spans="1:45" s="57" customFormat="1" x14ac:dyDescent="0.2">
      <c r="A33" s="54" t="s">
        <v>81</v>
      </c>
      <c r="B33" s="54"/>
      <c r="C33" s="87">
        <f t="shared" si="9"/>
        <v>1</v>
      </c>
      <c r="D33" s="55"/>
      <c r="E33" s="55"/>
      <c r="F33" s="56">
        <v>0.5</v>
      </c>
      <c r="G33" s="56">
        <v>0.5</v>
      </c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</row>
    <row r="34" spans="1:45" ht="15.75" x14ac:dyDescent="0.25">
      <c r="A34" s="4" t="s">
        <v>65</v>
      </c>
      <c r="B34" s="304">
        <f>'Бюджет '!F27</f>
        <v>0</v>
      </c>
      <c r="C34" s="52">
        <f t="shared" si="9"/>
        <v>0</v>
      </c>
      <c r="D34" s="32"/>
      <c r="E34" s="32"/>
      <c r="F34" s="52">
        <f>F35*$B$34</f>
        <v>0</v>
      </c>
      <c r="G34" s="52">
        <f t="shared" ref="G34:AS34" si="20">G35*$B$34</f>
        <v>0</v>
      </c>
      <c r="H34" s="52">
        <f t="shared" si="20"/>
        <v>0</v>
      </c>
      <c r="I34" s="52">
        <f t="shared" si="20"/>
        <v>0</v>
      </c>
      <c r="J34" s="52">
        <f t="shared" si="20"/>
        <v>0</v>
      </c>
      <c r="K34" s="52">
        <f t="shared" si="20"/>
        <v>0</v>
      </c>
      <c r="L34" s="52">
        <f t="shared" si="20"/>
        <v>0</v>
      </c>
      <c r="M34" s="52">
        <f t="shared" si="20"/>
        <v>0</v>
      </c>
      <c r="N34" s="52">
        <f t="shared" si="20"/>
        <v>0</v>
      </c>
      <c r="O34" s="52">
        <f t="shared" si="20"/>
        <v>0</v>
      </c>
      <c r="P34" s="52">
        <f t="shared" si="20"/>
        <v>0</v>
      </c>
      <c r="Q34" s="52">
        <f t="shared" si="20"/>
        <v>0</v>
      </c>
      <c r="R34" s="52">
        <f t="shared" si="20"/>
        <v>0</v>
      </c>
      <c r="S34" s="52">
        <f t="shared" si="20"/>
        <v>0</v>
      </c>
      <c r="T34" s="52">
        <f t="shared" si="20"/>
        <v>0</v>
      </c>
      <c r="U34" s="52">
        <f t="shared" si="20"/>
        <v>0</v>
      </c>
      <c r="V34" s="52">
        <f t="shared" si="20"/>
        <v>0</v>
      </c>
      <c r="W34" s="52">
        <f t="shared" si="20"/>
        <v>0</v>
      </c>
      <c r="X34" s="52">
        <f t="shared" si="20"/>
        <v>0</v>
      </c>
      <c r="Y34" s="52">
        <f t="shared" si="20"/>
        <v>0</v>
      </c>
      <c r="Z34" s="52">
        <f t="shared" si="20"/>
        <v>0</v>
      </c>
      <c r="AA34" s="52">
        <f t="shared" si="20"/>
        <v>0</v>
      </c>
      <c r="AB34" s="52">
        <f t="shared" si="20"/>
        <v>0</v>
      </c>
      <c r="AC34" s="52">
        <f t="shared" si="20"/>
        <v>0</v>
      </c>
      <c r="AD34" s="52">
        <f t="shared" si="20"/>
        <v>0</v>
      </c>
      <c r="AE34" s="52">
        <f t="shared" si="20"/>
        <v>0</v>
      </c>
      <c r="AF34" s="52">
        <f t="shared" si="20"/>
        <v>0</v>
      </c>
      <c r="AG34" s="52">
        <f t="shared" si="20"/>
        <v>0</v>
      </c>
      <c r="AH34" s="52">
        <f t="shared" si="20"/>
        <v>0</v>
      </c>
      <c r="AI34" s="52">
        <f t="shared" si="20"/>
        <v>0</v>
      </c>
      <c r="AJ34" s="52">
        <f t="shared" si="20"/>
        <v>0</v>
      </c>
      <c r="AK34" s="52">
        <f t="shared" si="20"/>
        <v>0</v>
      </c>
      <c r="AL34" s="52">
        <f t="shared" si="20"/>
        <v>0</v>
      </c>
      <c r="AM34" s="52">
        <f t="shared" si="20"/>
        <v>0</v>
      </c>
      <c r="AN34" s="52">
        <f t="shared" si="20"/>
        <v>0</v>
      </c>
      <c r="AO34" s="52">
        <f t="shared" si="20"/>
        <v>0</v>
      </c>
      <c r="AP34" s="52">
        <f t="shared" si="20"/>
        <v>0</v>
      </c>
      <c r="AQ34" s="52">
        <f t="shared" si="20"/>
        <v>0</v>
      </c>
      <c r="AR34" s="52">
        <f t="shared" si="20"/>
        <v>0</v>
      </c>
      <c r="AS34" s="52">
        <f t="shared" si="20"/>
        <v>0</v>
      </c>
    </row>
    <row r="35" spans="1:45" s="57" customFormat="1" x14ac:dyDescent="0.2">
      <c r="A35" s="54" t="s">
        <v>81</v>
      </c>
      <c r="B35" s="54"/>
      <c r="C35" s="87">
        <f t="shared" si="9"/>
        <v>0</v>
      </c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</row>
    <row r="36" spans="1:45" ht="15.75" x14ac:dyDescent="0.25">
      <c r="A36" s="4" t="s">
        <v>66</v>
      </c>
      <c r="B36" s="304">
        <f>'Бюджет '!F28</f>
        <v>0</v>
      </c>
      <c r="C36" s="52">
        <f t="shared" si="9"/>
        <v>0</v>
      </c>
      <c r="D36" s="32"/>
      <c r="E36" s="32"/>
      <c r="F36" s="52">
        <f>F37*$B$36</f>
        <v>0</v>
      </c>
      <c r="G36" s="52">
        <f t="shared" ref="G36:AS36" si="21">G37*$B$36</f>
        <v>0</v>
      </c>
      <c r="H36" s="52">
        <f t="shared" si="21"/>
        <v>0</v>
      </c>
      <c r="I36" s="52">
        <f t="shared" si="21"/>
        <v>0</v>
      </c>
      <c r="J36" s="52">
        <f t="shared" si="21"/>
        <v>0</v>
      </c>
      <c r="K36" s="52">
        <f t="shared" si="21"/>
        <v>0</v>
      </c>
      <c r="L36" s="52">
        <f t="shared" si="21"/>
        <v>0</v>
      </c>
      <c r="M36" s="52">
        <f t="shared" si="21"/>
        <v>0</v>
      </c>
      <c r="N36" s="52">
        <f t="shared" si="21"/>
        <v>0</v>
      </c>
      <c r="O36" s="52">
        <f t="shared" si="21"/>
        <v>0</v>
      </c>
      <c r="P36" s="52">
        <f t="shared" si="21"/>
        <v>0</v>
      </c>
      <c r="Q36" s="52">
        <f t="shared" si="21"/>
        <v>0</v>
      </c>
      <c r="R36" s="52">
        <f t="shared" si="21"/>
        <v>0</v>
      </c>
      <c r="S36" s="52">
        <f t="shared" si="21"/>
        <v>0</v>
      </c>
      <c r="T36" s="52">
        <f t="shared" si="21"/>
        <v>0</v>
      </c>
      <c r="U36" s="52">
        <f t="shared" si="21"/>
        <v>0</v>
      </c>
      <c r="V36" s="52">
        <f t="shared" si="21"/>
        <v>0</v>
      </c>
      <c r="W36" s="52">
        <f t="shared" si="21"/>
        <v>0</v>
      </c>
      <c r="X36" s="52">
        <f t="shared" si="21"/>
        <v>0</v>
      </c>
      <c r="Y36" s="52">
        <f t="shared" si="21"/>
        <v>0</v>
      </c>
      <c r="Z36" s="52">
        <f t="shared" si="21"/>
        <v>0</v>
      </c>
      <c r="AA36" s="52">
        <f t="shared" si="21"/>
        <v>0</v>
      </c>
      <c r="AB36" s="52">
        <f t="shared" si="21"/>
        <v>0</v>
      </c>
      <c r="AC36" s="52">
        <f t="shared" si="21"/>
        <v>0</v>
      </c>
      <c r="AD36" s="52">
        <f t="shared" si="21"/>
        <v>0</v>
      </c>
      <c r="AE36" s="52">
        <f t="shared" si="21"/>
        <v>0</v>
      </c>
      <c r="AF36" s="52">
        <f t="shared" si="21"/>
        <v>0</v>
      </c>
      <c r="AG36" s="52">
        <f t="shared" si="21"/>
        <v>0</v>
      </c>
      <c r="AH36" s="52">
        <f t="shared" si="21"/>
        <v>0</v>
      </c>
      <c r="AI36" s="52">
        <f t="shared" si="21"/>
        <v>0</v>
      </c>
      <c r="AJ36" s="52">
        <f t="shared" si="21"/>
        <v>0</v>
      </c>
      <c r="AK36" s="52">
        <f t="shared" si="21"/>
        <v>0</v>
      </c>
      <c r="AL36" s="52">
        <f t="shared" si="21"/>
        <v>0</v>
      </c>
      <c r="AM36" s="52">
        <f t="shared" si="21"/>
        <v>0</v>
      </c>
      <c r="AN36" s="52">
        <f t="shared" si="21"/>
        <v>0</v>
      </c>
      <c r="AO36" s="52">
        <f t="shared" si="21"/>
        <v>0</v>
      </c>
      <c r="AP36" s="52">
        <f t="shared" si="21"/>
        <v>0</v>
      </c>
      <c r="AQ36" s="52">
        <f t="shared" si="21"/>
        <v>0</v>
      </c>
      <c r="AR36" s="52">
        <f t="shared" si="21"/>
        <v>0</v>
      </c>
      <c r="AS36" s="52">
        <f t="shared" si="21"/>
        <v>0</v>
      </c>
    </row>
    <row r="37" spans="1:45" s="57" customFormat="1" x14ac:dyDescent="0.2">
      <c r="A37" s="54" t="s">
        <v>81</v>
      </c>
      <c r="B37" s="54"/>
      <c r="C37" s="87">
        <f t="shared" si="9"/>
        <v>0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</row>
    <row r="38" spans="1:45" ht="15.75" x14ac:dyDescent="0.25">
      <c r="A38" s="4" t="s">
        <v>67</v>
      </c>
      <c r="B38" s="304">
        <f>'Бюджет '!F29</f>
        <v>2000000</v>
      </c>
      <c r="C38" s="52">
        <f t="shared" si="9"/>
        <v>2000000</v>
      </c>
      <c r="D38" s="32"/>
      <c r="E38" s="32"/>
      <c r="F38" s="319">
        <f>F39*$B$38</f>
        <v>2000000</v>
      </c>
      <c r="G38" s="319">
        <f t="shared" ref="G38:AS38" si="22">G39*$B$38</f>
        <v>0</v>
      </c>
      <c r="H38" s="319">
        <f t="shared" si="22"/>
        <v>0</v>
      </c>
      <c r="I38" s="319">
        <f t="shared" si="22"/>
        <v>0</v>
      </c>
      <c r="J38" s="319">
        <f t="shared" si="22"/>
        <v>0</v>
      </c>
      <c r="K38" s="319">
        <f t="shared" si="22"/>
        <v>0</v>
      </c>
      <c r="L38" s="319">
        <f t="shared" si="22"/>
        <v>0</v>
      </c>
      <c r="M38" s="319">
        <f t="shared" si="22"/>
        <v>0</v>
      </c>
      <c r="N38" s="319">
        <f t="shared" si="22"/>
        <v>0</v>
      </c>
      <c r="O38" s="319">
        <f t="shared" si="22"/>
        <v>0</v>
      </c>
      <c r="P38" s="319">
        <f t="shared" si="22"/>
        <v>0</v>
      </c>
      <c r="Q38" s="319">
        <f t="shared" si="22"/>
        <v>0</v>
      </c>
      <c r="R38" s="319">
        <f t="shared" si="22"/>
        <v>0</v>
      </c>
      <c r="S38" s="319">
        <f t="shared" si="22"/>
        <v>0</v>
      </c>
      <c r="T38" s="319">
        <f t="shared" si="22"/>
        <v>0</v>
      </c>
      <c r="U38" s="319">
        <f t="shared" si="22"/>
        <v>0</v>
      </c>
      <c r="V38" s="319">
        <f t="shared" si="22"/>
        <v>0</v>
      </c>
      <c r="W38" s="319">
        <f t="shared" si="22"/>
        <v>0</v>
      </c>
      <c r="X38" s="319">
        <f t="shared" si="22"/>
        <v>0</v>
      </c>
      <c r="Y38" s="319">
        <f t="shared" si="22"/>
        <v>0</v>
      </c>
      <c r="Z38" s="319">
        <f t="shared" si="22"/>
        <v>0</v>
      </c>
      <c r="AA38" s="319">
        <f t="shared" si="22"/>
        <v>0</v>
      </c>
      <c r="AB38" s="319">
        <f t="shared" si="22"/>
        <v>0</v>
      </c>
      <c r="AC38" s="319">
        <f t="shared" si="22"/>
        <v>0</v>
      </c>
      <c r="AD38" s="319">
        <f t="shared" si="22"/>
        <v>0</v>
      </c>
      <c r="AE38" s="319">
        <f t="shared" si="22"/>
        <v>0</v>
      </c>
      <c r="AF38" s="319">
        <f t="shared" si="22"/>
        <v>0</v>
      </c>
      <c r="AG38" s="319">
        <f t="shared" si="22"/>
        <v>0</v>
      </c>
      <c r="AH38" s="319">
        <f t="shared" si="22"/>
        <v>0</v>
      </c>
      <c r="AI38" s="319">
        <f t="shared" si="22"/>
        <v>0</v>
      </c>
      <c r="AJ38" s="319">
        <f t="shared" si="22"/>
        <v>0</v>
      </c>
      <c r="AK38" s="319">
        <f t="shared" si="22"/>
        <v>0</v>
      </c>
      <c r="AL38" s="319">
        <f t="shared" si="22"/>
        <v>0</v>
      </c>
      <c r="AM38" s="319">
        <f t="shared" si="22"/>
        <v>0</v>
      </c>
      <c r="AN38" s="319">
        <f t="shared" si="22"/>
        <v>0</v>
      </c>
      <c r="AO38" s="319">
        <f t="shared" si="22"/>
        <v>0</v>
      </c>
      <c r="AP38" s="319">
        <f t="shared" si="22"/>
        <v>0</v>
      </c>
      <c r="AQ38" s="319">
        <f t="shared" si="22"/>
        <v>0</v>
      </c>
      <c r="AR38" s="319">
        <f t="shared" si="22"/>
        <v>0</v>
      </c>
      <c r="AS38" s="319">
        <f t="shared" si="22"/>
        <v>0</v>
      </c>
    </row>
    <row r="39" spans="1:45" s="57" customFormat="1" x14ac:dyDescent="0.2">
      <c r="A39" s="54" t="s">
        <v>81</v>
      </c>
      <c r="B39" s="54"/>
      <c r="C39" s="87">
        <f t="shared" si="9"/>
        <v>1</v>
      </c>
      <c r="D39" s="55"/>
      <c r="E39" s="55"/>
      <c r="F39" s="56">
        <v>1</v>
      </c>
      <c r="G39" s="56">
        <v>0</v>
      </c>
      <c r="H39" s="56">
        <v>0</v>
      </c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</row>
    <row r="40" spans="1:45" ht="15.75" x14ac:dyDescent="0.25">
      <c r="A40" s="50" t="s">
        <v>96</v>
      </c>
      <c r="B40" s="77">
        <f>B41+B43+B45+B47+B49+B51+B53+B57+B55+B59+B61+B63+B65+B67+B69+B71+B73+B75</f>
        <v>64759192717.732895</v>
      </c>
      <c r="C40" s="77">
        <f>SUM(F40:AS40)</f>
        <v>64742337663.776535</v>
      </c>
      <c r="D40" s="51"/>
      <c r="E40" s="51"/>
      <c r="F40" s="53">
        <f>SUM(F41,F43,F45,F47,F49,F51,F53,F55,F57,F59,F61,F63,F65,F67,F69,F71,F73,F75)</f>
        <v>285152340.32366443</v>
      </c>
      <c r="G40" s="53">
        <f t="shared" ref="G40:AS40" si="23">SUM(G41,G43,G45,G47,G49,G51,G53,G55,G57,G59,G61,G63,G65,G67,G69,G71,G73,G75)</f>
        <v>285152340.32366443</v>
      </c>
      <c r="H40" s="53">
        <f t="shared" si="23"/>
        <v>1710914041.9419866</v>
      </c>
      <c r="I40" s="53">
        <f t="shared" si="23"/>
        <v>1742066836.7244866</v>
      </c>
      <c r="J40" s="53">
        <f t="shared" si="23"/>
        <v>1742066836.7244866</v>
      </c>
      <c r="K40" s="53">
        <f t="shared" si="23"/>
        <v>2028983265.9594867</v>
      </c>
      <c r="L40" s="53">
        <f t="shared" si="23"/>
        <v>2312371517.3718157</v>
      </c>
      <c r="M40" s="53">
        <f t="shared" si="23"/>
        <v>2656671232.4538155</v>
      </c>
      <c r="N40" s="53">
        <f t="shared" si="23"/>
        <v>2628360315.4538155</v>
      </c>
      <c r="O40" s="53">
        <f t="shared" si="23"/>
        <v>2284066969.5444522</v>
      </c>
      <c r="P40" s="53">
        <f t="shared" si="23"/>
        <v>2854369621.7928524</v>
      </c>
      <c r="Q40" s="53">
        <f t="shared" si="23"/>
        <v>3994974926.2896528</v>
      </c>
      <c r="R40" s="53">
        <f t="shared" si="23"/>
        <v>3994974926.2896528</v>
      </c>
      <c r="S40" s="53">
        <f t="shared" si="23"/>
        <v>4281905473.1811976</v>
      </c>
      <c r="T40" s="53">
        <f t="shared" si="23"/>
        <v>4281905473.1811976</v>
      </c>
      <c r="U40" s="53">
        <f t="shared" si="23"/>
        <v>3994974926.2896528</v>
      </c>
      <c r="V40" s="53">
        <f t="shared" si="23"/>
        <v>4339274641.3716526</v>
      </c>
      <c r="W40" s="53">
        <f t="shared" si="23"/>
        <v>5392098019.7086525</v>
      </c>
      <c r="X40" s="53">
        <f t="shared" si="23"/>
        <v>5277331448.0146523</v>
      </c>
      <c r="Y40" s="53">
        <f t="shared" si="23"/>
        <v>4445810082.5028534</v>
      </c>
      <c r="Z40" s="53">
        <f t="shared" si="23"/>
        <v>4158893653.2678523</v>
      </c>
      <c r="AA40" s="53">
        <f t="shared" si="23"/>
        <v>25009387.532499999</v>
      </c>
      <c r="AB40" s="53">
        <f t="shared" si="23"/>
        <v>25009387.532499999</v>
      </c>
      <c r="AC40" s="53">
        <f t="shared" si="23"/>
        <v>0</v>
      </c>
      <c r="AD40" s="53">
        <f t="shared" si="23"/>
        <v>0</v>
      </c>
      <c r="AE40" s="53">
        <f t="shared" si="23"/>
        <v>0</v>
      </c>
      <c r="AF40" s="53">
        <f t="shared" si="23"/>
        <v>0</v>
      </c>
      <c r="AG40" s="53">
        <f t="shared" si="23"/>
        <v>0</v>
      </c>
      <c r="AH40" s="53">
        <f t="shared" si="23"/>
        <v>0</v>
      </c>
      <c r="AI40" s="53">
        <f t="shared" si="23"/>
        <v>0</v>
      </c>
      <c r="AJ40" s="53">
        <f t="shared" si="23"/>
        <v>0</v>
      </c>
      <c r="AK40" s="53">
        <f t="shared" si="23"/>
        <v>0</v>
      </c>
      <c r="AL40" s="53">
        <f t="shared" si="23"/>
        <v>0</v>
      </c>
      <c r="AM40" s="53">
        <f t="shared" si="23"/>
        <v>0</v>
      </c>
      <c r="AN40" s="53">
        <f t="shared" si="23"/>
        <v>0</v>
      </c>
      <c r="AO40" s="53">
        <f t="shared" si="23"/>
        <v>0</v>
      </c>
      <c r="AP40" s="53">
        <f t="shared" si="23"/>
        <v>0</v>
      </c>
      <c r="AQ40" s="53">
        <f t="shared" si="23"/>
        <v>0</v>
      </c>
      <c r="AR40" s="53">
        <f t="shared" si="23"/>
        <v>0</v>
      </c>
      <c r="AS40" s="53">
        <f t="shared" si="23"/>
        <v>0</v>
      </c>
    </row>
    <row r="41" spans="1:45" ht="15.75" x14ac:dyDescent="0.25">
      <c r="A41" s="4" t="s">
        <v>303</v>
      </c>
      <c r="B41" s="304">
        <f>'Бюджет '!F31</f>
        <v>141554585</v>
      </c>
      <c r="C41" s="52">
        <f t="shared" si="9"/>
        <v>141554585</v>
      </c>
      <c r="D41" s="32"/>
      <c r="E41" s="32"/>
      <c r="F41" s="52">
        <f t="shared" ref="F41:H41" si="24">F42*$B$41</f>
        <v>0</v>
      </c>
      <c r="G41" s="52">
        <f t="shared" si="24"/>
        <v>0</v>
      </c>
      <c r="H41" s="52">
        <f t="shared" si="24"/>
        <v>0</v>
      </c>
      <c r="I41" s="52">
        <f>I42*$B$41</f>
        <v>28310917</v>
      </c>
      <c r="J41" s="52">
        <f t="shared" ref="J41:AS41" si="25">J42*$B$41</f>
        <v>28310917</v>
      </c>
      <c r="K41" s="52">
        <f t="shared" si="25"/>
        <v>28310917</v>
      </c>
      <c r="L41" s="52">
        <f t="shared" si="25"/>
        <v>28310917</v>
      </c>
      <c r="M41" s="52">
        <f t="shared" si="25"/>
        <v>28310917</v>
      </c>
      <c r="N41" s="52">
        <f t="shared" si="25"/>
        <v>0</v>
      </c>
      <c r="O41" s="52">
        <f t="shared" si="25"/>
        <v>0</v>
      </c>
      <c r="P41" s="52">
        <f t="shared" si="25"/>
        <v>0</v>
      </c>
      <c r="Q41" s="52">
        <f t="shared" si="25"/>
        <v>0</v>
      </c>
      <c r="R41" s="52">
        <f t="shared" si="25"/>
        <v>0</v>
      </c>
      <c r="S41" s="52">
        <f t="shared" si="25"/>
        <v>0</v>
      </c>
      <c r="T41" s="52">
        <f t="shared" si="25"/>
        <v>0</v>
      </c>
      <c r="U41" s="52">
        <f t="shared" si="25"/>
        <v>0</v>
      </c>
      <c r="V41" s="52">
        <f t="shared" si="25"/>
        <v>0</v>
      </c>
      <c r="W41" s="52">
        <f t="shared" si="25"/>
        <v>0</v>
      </c>
      <c r="X41" s="52">
        <f t="shared" si="25"/>
        <v>0</v>
      </c>
      <c r="Y41" s="52">
        <f t="shared" si="25"/>
        <v>0</v>
      </c>
      <c r="Z41" s="52">
        <f t="shared" si="25"/>
        <v>0</v>
      </c>
      <c r="AA41" s="52">
        <f t="shared" si="25"/>
        <v>0</v>
      </c>
      <c r="AB41" s="52">
        <f t="shared" si="25"/>
        <v>0</v>
      </c>
      <c r="AC41" s="52">
        <f t="shared" si="25"/>
        <v>0</v>
      </c>
      <c r="AD41" s="52">
        <f t="shared" si="25"/>
        <v>0</v>
      </c>
      <c r="AE41" s="52">
        <f t="shared" si="25"/>
        <v>0</v>
      </c>
      <c r="AF41" s="52">
        <f t="shared" si="25"/>
        <v>0</v>
      </c>
      <c r="AG41" s="52">
        <f t="shared" si="25"/>
        <v>0</v>
      </c>
      <c r="AH41" s="52">
        <f t="shared" si="25"/>
        <v>0</v>
      </c>
      <c r="AI41" s="52">
        <f t="shared" si="25"/>
        <v>0</v>
      </c>
      <c r="AJ41" s="52">
        <f t="shared" si="25"/>
        <v>0</v>
      </c>
      <c r="AK41" s="52">
        <f t="shared" si="25"/>
        <v>0</v>
      </c>
      <c r="AL41" s="52">
        <f t="shared" si="25"/>
        <v>0</v>
      </c>
      <c r="AM41" s="52">
        <f t="shared" si="25"/>
        <v>0</v>
      </c>
      <c r="AN41" s="52">
        <f t="shared" si="25"/>
        <v>0</v>
      </c>
      <c r="AO41" s="52">
        <f t="shared" si="25"/>
        <v>0</v>
      </c>
      <c r="AP41" s="52">
        <f t="shared" si="25"/>
        <v>0</v>
      </c>
      <c r="AQ41" s="52">
        <f t="shared" si="25"/>
        <v>0</v>
      </c>
      <c r="AR41" s="52">
        <f t="shared" si="25"/>
        <v>0</v>
      </c>
      <c r="AS41" s="52">
        <f t="shared" si="25"/>
        <v>0</v>
      </c>
    </row>
    <row r="42" spans="1:45" s="57" customFormat="1" x14ac:dyDescent="0.2">
      <c r="A42" s="54" t="s">
        <v>81</v>
      </c>
      <c r="B42" s="54"/>
      <c r="C42" s="87">
        <f t="shared" si="9"/>
        <v>1</v>
      </c>
      <c r="D42" s="55"/>
      <c r="E42" s="55"/>
      <c r="F42" s="56"/>
      <c r="G42" s="56"/>
      <c r="H42" s="56"/>
      <c r="I42" s="56">
        <v>0.2</v>
      </c>
      <c r="J42" s="56">
        <v>0.2</v>
      </c>
      <c r="K42" s="56">
        <v>0.2</v>
      </c>
      <c r="L42" s="56">
        <v>0.2</v>
      </c>
      <c r="M42" s="56">
        <v>0.2</v>
      </c>
      <c r="N42" s="56">
        <v>0</v>
      </c>
      <c r="O42" s="56">
        <v>0</v>
      </c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</row>
    <row r="43" spans="1:45" ht="15.75" x14ac:dyDescent="0.25">
      <c r="A43" s="4" t="s">
        <v>68</v>
      </c>
      <c r="B43" s="304">
        <f>'Бюджет '!F32</f>
        <v>52782616084</v>
      </c>
      <c r="C43" s="52">
        <f t="shared" si="9"/>
        <v>52782616083.999992</v>
      </c>
      <c r="D43" s="32"/>
      <c r="E43" s="32"/>
      <c r="F43" s="52">
        <f t="shared" ref="F43:N43" si="26">F44*$B$43</f>
        <v>263913080.42000002</v>
      </c>
      <c r="G43" s="52">
        <f t="shared" si="26"/>
        <v>263913080.42000002</v>
      </c>
      <c r="H43" s="52">
        <f t="shared" si="26"/>
        <v>1583478482.52</v>
      </c>
      <c r="I43" s="52">
        <f t="shared" si="26"/>
        <v>1583478482.52</v>
      </c>
      <c r="J43" s="52">
        <f t="shared" si="26"/>
        <v>1583478482.52</v>
      </c>
      <c r="K43" s="52">
        <f t="shared" si="26"/>
        <v>1583478482.52</v>
      </c>
      <c r="L43" s="52">
        <f t="shared" si="26"/>
        <v>2111304643.3600001</v>
      </c>
      <c r="M43" s="52">
        <f t="shared" si="26"/>
        <v>2111304643.3600001</v>
      </c>
      <c r="N43" s="52">
        <f t="shared" si="26"/>
        <v>2111304643.3600001</v>
      </c>
      <c r="O43" s="52">
        <f>O44*$B$43</f>
        <v>2111304643.3600001</v>
      </c>
      <c r="P43" s="52">
        <f t="shared" ref="P43:Z43" si="27">P44*$B$43</f>
        <v>2639130804.2000003</v>
      </c>
      <c r="Q43" s="52">
        <f t="shared" si="27"/>
        <v>3694783125.8800001</v>
      </c>
      <c r="R43" s="52">
        <f t="shared" si="27"/>
        <v>3694783125.8800001</v>
      </c>
      <c r="S43" s="52">
        <f t="shared" si="27"/>
        <v>3694783125.8800001</v>
      </c>
      <c r="T43" s="52">
        <f t="shared" si="27"/>
        <v>3694783125.8800001</v>
      </c>
      <c r="U43" s="52">
        <f t="shared" si="27"/>
        <v>3694783125.8800001</v>
      </c>
      <c r="V43" s="52">
        <f t="shared" si="27"/>
        <v>3694783125.8800001</v>
      </c>
      <c r="W43" s="52">
        <f t="shared" si="27"/>
        <v>3694783125.8800001</v>
      </c>
      <c r="X43" s="52">
        <f t="shared" si="27"/>
        <v>3694783125.8800001</v>
      </c>
      <c r="Y43" s="52">
        <f t="shared" si="27"/>
        <v>2639130804.2000003</v>
      </c>
      <c r="Z43" s="52">
        <f t="shared" si="27"/>
        <v>2639130804.2000003</v>
      </c>
      <c r="AA43" s="52">
        <f t="shared" ref="AA43" si="28">AA44*$B$43</f>
        <v>0</v>
      </c>
      <c r="AB43" s="52">
        <f t="shared" ref="AB43" si="29">AB44*$B$43</f>
        <v>0</v>
      </c>
      <c r="AC43" s="52">
        <f t="shared" ref="AC43" si="30">AC44*$B$43</f>
        <v>0</v>
      </c>
      <c r="AD43" s="52">
        <f t="shared" ref="AD43" si="31">AD44*$B$43</f>
        <v>0</v>
      </c>
      <c r="AE43" s="52">
        <f t="shared" ref="AE43" si="32">AE44*$B$43</f>
        <v>0</v>
      </c>
      <c r="AF43" s="52">
        <f t="shared" ref="AF43" si="33">AF44*$B$43</f>
        <v>0</v>
      </c>
      <c r="AG43" s="52">
        <f t="shared" ref="AG43" si="34">AG44*$B$43</f>
        <v>0</v>
      </c>
      <c r="AH43" s="52">
        <f t="shared" ref="AH43" si="35">AH44*$B$43</f>
        <v>0</v>
      </c>
      <c r="AI43" s="52">
        <f t="shared" ref="AI43" si="36">AI44*$B$43</f>
        <v>0</v>
      </c>
      <c r="AJ43" s="52">
        <f t="shared" ref="AJ43" si="37">AJ44*$B$43</f>
        <v>0</v>
      </c>
      <c r="AK43" s="52">
        <f t="shared" ref="AK43" si="38">AK44*$B$43</f>
        <v>0</v>
      </c>
      <c r="AL43" s="52">
        <f t="shared" ref="AL43" si="39">AL44*$B$43</f>
        <v>0</v>
      </c>
      <c r="AM43" s="52">
        <f t="shared" ref="AM43" si="40">AM44*$B$43</f>
        <v>0</v>
      </c>
      <c r="AN43" s="52">
        <f t="shared" ref="AN43" si="41">AN44*$B$43</f>
        <v>0</v>
      </c>
      <c r="AO43" s="52">
        <f t="shared" ref="AO43" si="42">AO44*$B$43</f>
        <v>0</v>
      </c>
      <c r="AP43" s="52">
        <f t="shared" ref="AP43" si="43">AP44*$B$43</f>
        <v>0</v>
      </c>
      <c r="AQ43" s="52">
        <f t="shared" ref="AQ43" si="44">AQ44*$B$43</f>
        <v>0</v>
      </c>
      <c r="AR43" s="52">
        <f t="shared" ref="AR43" si="45">AR44*$B$43</f>
        <v>0</v>
      </c>
      <c r="AS43" s="52">
        <f t="shared" ref="AS43" si="46">AS44*$B$43</f>
        <v>0</v>
      </c>
    </row>
    <row r="44" spans="1:45" s="57" customFormat="1" x14ac:dyDescent="0.2">
      <c r="A44" s="54" t="s">
        <v>81</v>
      </c>
      <c r="B44" s="54"/>
      <c r="C44" s="87">
        <f>SUM(F44:AS44)</f>
        <v>1.0000000000000004</v>
      </c>
      <c r="D44" s="55"/>
      <c r="E44" s="55"/>
      <c r="F44" s="56">
        <v>5.0000000000000001E-3</v>
      </c>
      <c r="G44" s="56">
        <v>5.0000000000000001E-3</v>
      </c>
      <c r="H44" s="56">
        <v>0.03</v>
      </c>
      <c r="I44" s="56">
        <v>0.03</v>
      </c>
      <c r="J44" s="56">
        <v>0.03</v>
      </c>
      <c r="K44" s="56">
        <v>0.03</v>
      </c>
      <c r="L44" s="56">
        <v>0.04</v>
      </c>
      <c r="M44" s="56">
        <v>0.04</v>
      </c>
      <c r="N44" s="56">
        <v>0.04</v>
      </c>
      <c r="O44" s="56">
        <v>0.04</v>
      </c>
      <c r="P44" s="56">
        <v>0.05</v>
      </c>
      <c r="Q44" s="56">
        <v>7.0000000000000007E-2</v>
      </c>
      <c r="R44" s="56">
        <v>7.0000000000000007E-2</v>
      </c>
      <c r="S44" s="56">
        <v>7.0000000000000007E-2</v>
      </c>
      <c r="T44" s="56">
        <v>7.0000000000000007E-2</v>
      </c>
      <c r="U44" s="56">
        <v>7.0000000000000007E-2</v>
      </c>
      <c r="V44" s="56">
        <v>7.0000000000000007E-2</v>
      </c>
      <c r="W44" s="56">
        <v>7.0000000000000007E-2</v>
      </c>
      <c r="X44" s="56">
        <v>7.0000000000000007E-2</v>
      </c>
      <c r="Y44" s="56">
        <v>0.05</v>
      </c>
      <c r="Z44" s="56">
        <v>0.05</v>
      </c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</row>
    <row r="45" spans="1:45" ht="15.75" x14ac:dyDescent="0.25">
      <c r="A45" s="4" t="s">
        <v>69</v>
      </c>
      <c r="B45" s="304">
        <f>'Бюджет '!F33</f>
        <v>0</v>
      </c>
      <c r="C45" s="52">
        <f t="shared" si="9"/>
        <v>0</v>
      </c>
      <c r="D45" s="32"/>
      <c r="E45" s="32"/>
      <c r="F45" s="52">
        <f>F46*$B$45</f>
        <v>0</v>
      </c>
      <c r="G45" s="52">
        <f t="shared" ref="G45:L45" si="47">G46*$B$45</f>
        <v>0</v>
      </c>
      <c r="H45" s="52">
        <f t="shared" si="47"/>
        <v>0</v>
      </c>
      <c r="I45" s="52">
        <f t="shared" si="47"/>
        <v>0</v>
      </c>
      <c r="J45" s="52">
        <f t="shared" si="47"/>
        <v>0</v>
      </c>
      <c r="K45" s="52">
        <f t="shared" si="47"/>
        <v>0</v>
      </c>
      <c r="L45" s="52">
        <f t="shared" si="47"/>
        <v>0</v>
      </c>
      <c r="M45" s="52">
        <f>M46*$B$45</f>
        <v>0</v>
      </c>
      <c r="N45" s="52">
        <f t="shared" ref="N45:AS45" si="48">N46*$B$45</f>
        <v>0</v>
      </c>
      <c r="O45" s="52">
        <f t="shared" si="48"/>
        <v>0</v>
      </c>
      <c r="P45" s="52">
        <f t="shared" si="48"/>
        <v>0</v>
      </c>
      <c r="Q45" s="52">
        <f t="shared" si="48"/>
        <v>0</v>
      </c>
      <c r="R45" s="52">
        <f t="shared" si="48"/>
        <v>0</v>
      </c>
      <c r="S45" s="52">
        <f t="shared" si="48"/>
        <v>0</v>
      </c>
      <c r="T45" s="52">
        <f t="shared" si="48"/>
        <v>0</v>
      </c>
      <c r="U45" s="52">
        <f t="shared" si="48"/>
        <v>0</v>
      </c>
      <c r="V45" s="52">
        <f t="shared" si="48"/>
        <v>0</v>
      </c>
      <c r="W45" s="52">
        <f t="shared" si="48"/>
        <v>0</v>
      </c>
      <c r="X45" s="52">
        <f t="shared" si="48"/>
        <v>0</v>
      </c>
      <c r="Y45" s="52">
        <f t="shared" si="48"/>
        <v>0</v>
      </c>
      <c r="Z45" s="52">
        <f t="shared" si="48"/>
        <v>0</v>
      </c>
      <c r="AA45" s="52">
        <f t="shared" si="48"/>
        <v>0</v>
      </c>
      <c r="AB45" s="52">
        <f t="shared" si="48"/>
        <v>0</v>
      </c>
      <c r="AC45" s="52">
        <f t="shared" si="48"/>
        <v>0</v>
      </c>
      <c r="AD45" s="52">
        <f t="shared" si="48"/>
        <v>0</v>
      </c>
      <c r="AE45" s="52">
        <f t="shared" si="48"/>
        <v>0</v>
      </c>
      <c r="AF45" s="52">
        <f t="shared" si="48"/>
        <v>0</v>
      </c>
      <c r="AG45" s="52">
        <f t="shared" si="48"/>
        <v>0</v>
      </c>
      <c r="AH45" s="52">
        <f t="shared" si="48"/>
        <v>0</v>
      </c>
      <c r="AI45" s="52">
        <f t="shared" si="48"/>
        <v>0</v>
      </c>
      <c r="AJ45" s="52">
        <f t="shared" si="48"/>
        <v>0</v>
      </c>
      <c r="AK45" s="52">
        <f t="shared" si="48"/>
        <v>0</v>
      </c>
      <c r="AL45" s="52">
        <f t="shared" si="48"/>
        <v>0</v>
      </c>
      <c r="AM45" s="52">
        <f t="shared" si="48"/>
        <v>0</v>
      </c>
      <c r="AN45" s="52">
        <f t="shared" si="48"/>
        <v>0</v>
      </c>
      <c r="AO45" s="52">
        <f t="shared" si="48"/>
        <v>0</v>
      </c>
      <c r="AP45" s="52">
        <f t="shared" si="48"/>
        <v>0</v>
      </c>
      <c r="AQ45" s="52">
        <f t="shared" si="48"/>
        <v>0</v>
      </c>
      <c r="AR45" s="52">
        <f t="shared" si="48"/>
        <v>0</v>
      </c>
      <c r="AS45" s="52">
        <f t="shared" si="48"/>
        <v>0</v>
      </c>
    </row>
    <row r="46" spans="1:45" s="57" customFormat="1" x14ac:dyDescent="0.2">
      <c r="A46" s="54" t="s">
        <v>81</v>
      </c>
      <c r="B46" s="54"/>
      <c r="C46" s="87">
        <f t="shared" si="9"/>
        <v>0.99999999999999989</v>
      </c>
      <c r="D46" s="55"/>
      <c r="E46" s="55"/>
      <c r="F46" s="56"/>
      <c r="G46" s="56"/>
      <c r="H46" s="56"/>
      <c r="I46" s="56"/>
      <c r="J46" s="56"/>
      <c r="K46" s="56"/>
      <c r="L46" s="56"/>
      <c r="M46" s="56">
        <v>0.3</v>
      </c>
      <c r="N46" s="56">
        <v>0.3</v>
      </c>
      <c r="O46" s="56">
        <v>0.3</v>
      </c>
      <c r="P46" s="56">
        <v>0.1</v>
      </c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</row>
    <row r="47" spans="1:45" ht="15.75" x14ac:dyDescent="0.25">
      <c r="A47" s="4" t="s">
        <v>293</v>
      </c>
      <c r="B47" s="304">
        <f>'Бюджет '!F34</f>
        <v>0</v>
      </c>
      <c r="C47" s="52">
        <f t="shared" si="9"/>
        <v>0</v>
      </c>
      <c r="D47" s="32"/>
      <c r="E47" s="32"/>
      <c r="F47" s="52">
        <f>F48*$B$47</f>
        <v>0</v>
      </c>
      <c r="G47" s="52">
        <f t="shared" ref="G47:AS47" si="49">G48*$B$47</f>
        <v>0</v>
      </c>
      <c r="H47" s="52">
        <f t="shared" si="49"/>
        <v>0</v>
      </c>
      <c r="I47" s="52">
        <f t="shared" si="49"/>
        <v>0</v>
      </c>
      <c r="J47" s="52">
        <f t="shared" si="49"/>
        <v>0</v>
      </c>
      <c r="K47" s="52">
        <f t="shared" si="49"/>
        <v>0</v>
      </c>
      <c r="L47" s="52">
        <f t="shared" si="49"/>
        <v>0</v>
      </c>
      <c r="M47" s="52">
        <f t="shared" si="49"/>
        <v>0</v>
      </c>
      <c r="N47" s="52">
        <f t="shared" si="49"/>
        <v>0</v>
      </c>
      <c r="O47" s="52">
        <f t="shared" si="49"/>
        <v>0</v>
      </c>
      <c r="P47" s="52">
        <f t="shared" si="49"/>
        <v>0</v>
      </c>
      <c r="Q47" s="52">
        <f t="shared" si="49"/>
        <v>0</v>
      </c>
      <c r="R47" s="52">
        <f t="shared" si="49"/>
        <v>0</v>
      </c>
      <c r="S47" s="52">
        <f t="shared" si="49"/>
        <v>0</v>
      </c>
      <c r="T47" s="52">
        <f t="shared" si="49"/>
        <v>0</v>
      </c>
      <c r="U47" s="52">
        <f t="shared" si="49"/>
        <v>0</v>
      </c>
      <c r="V47" s="52">
        <f t="shared" si="49"/>
        <v>0</v>
      </c>
      <c r="W47" s="52">
        <f t="shared" si="49"/>
        <v>0</v>
      </c>
      <c r="X47" s="52">
        <f t="shared" si="49"/>
        <v>0</v>
      </c>
      <c r="Y47" s="52">
        <f t="shared" si="49"/>
        <v>0</v>
      </c>
      <c r="Z47" s="52">
        <f t="shared" si="49"/>
        <v>0</v>
      </c>
      <c r="AA47" s="52">
        <f t="shared" si="49"/>
        <v>0</v>
      </c>
      <c r="AB47" s="52">
        <f t="shared" si="49"/>
        <v>0</v>
      </c>
      <c r="AC47" s="52">
        <f t="shared" si="49"/>
        <v>0</v>
      </c>
      <c r="AD47" s="52">
        <f t="shared" si="49"/>
        <v>0</v>
      </c>
      <c r="AE47" s="52">
        <f t="shared" si="49"/>
        <v>0</v>
      </c>
      <c r="AF47" s="52">
        <f t="shared" si="49"/>
        <v>0</v>
      </c>
      <c r="AG47" s="52">
        <f t="shared" si="49"/>
        <v>0</v>
      </c>
      <c r="AH47" s="52">
        <f t="shared" si="49"/>
        <v>0</v>
      </c>
      <c r="AI47" s="52">
        <f t="shared" si="49"/>
        <v>0</v>
      </c>
      <c r="AJ47" s="52">
        <f t="shared" si="49"/>
        <v>0</v>
      </c>
      <c r="AK47" s="52">
        <f t="shared" si="49"/>
        <v>0</v>
      </c>
      <c r="AL47" s="52">
        <f t="shared" si="49"/>
        <v>0</v>
      </c>
      <c r="AM47" s="52">
        <f t="shared" si="49"/>
        <v>0</v>
      </c>
      <c r="AN47" s="52">
        <f t="shared" si="49"/>
        <v>0</v>
      </c>
      <c r="AO47" s="52">
        <f t="shared" si="49"/>
        <v>0</v>
      </c>
      <c r="AP47" s="52">
        <f t="shared" si="49"/>
        <v>0</v>
      </c>
      <c r="AQ47" s="52">
        <f t="shared" si="49"/>
        <v>0</v>
      </c>
      <c r="AR47" s="52">
        <f t="shared" si="49"/>
        <v>0</v>
      </c>
      <c r="AS47" s="52">
        <f t="shared" si="49"/>
        <v>0</v>
      </c>
    </row>
    <row r="48" spans="1:45" x14ac:dyDescent="0.2">
      <c r="A48" s="37" t="s">
        <v>81</v>
      </c>
      <c r="B48" s="37"/>
      <c r="C48" s="87">
        <f t="shared" si="9"/>
        <v>1</v>
      </c>
      <c r="D48" s="26"/>
      <c r="E48" s="26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>
        <v>0.5</v>
      </c>
      <c r="AA48" s="29">
        <v>0.5</v>
      </c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 spans="1:45" ht="15.75" x14ac:dyDescent="0.25">
      <c r="A49" s="4" t="s">
        <v>70</v>
      </c>
      <c r="B49" s="304">
        <f>'Бюджет '!F35</f>
        <v>1147665716.9400001</v>
      </c>
      <c r="C49" s="52">
        <f t="shared" si="9"/>
        <v>1147665716.9400001</v>
      </c>
      <c r="D49" s="32"/>
      <c r="E49" s="32"/>
      <c r="F49" s="52">
        <f>F50*$B$49</f>
        <v>0</v>
      </c>
      <c r="G49" s="52">
        <f t="shared" ref="G49:AS49" si="50">G50*$B$49</f>
        <v>0</v>
      </c>
      <c r="H49" s="52">
        <f t="shared" si="50"/>
        <v>0</v>
      </c>
      <c r="I49" s="52">
        <f t="shared" si="50"/>
        <v>0</v>
      </c>
      <c r="J49" s="52">
        <f t="shared" si="50"/>
        <v>0</v>
      </c>
      <c r="K49" s="52">
        <f t="shared" si="50"/>
        <v>286916429.23500001</v>
      </c>
      <c r="L49" s="52">
        <f t="shared" si="50"/>
        <v>0</v>
      </c>
      <c r="M49" s="52">
        <f t="shared" si="50"/>
        <v>0</v>
      </c>
      <c r="N49" s="52">
        <f t="shared" si="50"/>
        <v>0</v>
      </c>
      <c r="O49" s="52">
        <f t="shared" si="50"/>
        <v>0</v>
      </c>
      <c r="P49" s="52">
        <f t="shared" si="50"/>
        <v>0</v>
      </c>
      <c r="Q49" s="52">
        <f t="shared" si="50"/>
        <v>0</v>
      </c>
      <c r="R49" s="52">
        <f t="shared" si="50"/>
        <v>0</v>
      </c>
      <c r="S49" s="52">
        <f t="shared" si="50"/>
        <v>286916429.23500001</v>
      </c>
      <c r="T49" s="52">
        <f t="shared" si="50"/>
        <v>286916429.23500001</v>
      </c>
      <c r="U49" s="52">
        <f t="shared" si="50"/>
        <v>0</v>
      </c>
      <c r="V49" s="52">
        <f t="shared" si="50"/>
        <v>0</v>
      </c>
      <c r="W49" s="52">
        <f t="shared" si="50"/>
        <v>0</v>
      </c>
      <c r="X49" s="52">
        <f t="shared" si="50"/>
        <v>0</v>
      </c>
      <c r="Y49" s="52">
        <f t="shared" si="50"/>
        <v>286916429.23500001</v>
      </c>
      <c r="Z49" s="52">
        <f t="shared" si="50"/>
        <v>0</v>
      </c>
      <c r="AA49" s="52">
        <f t="shared" si="50"/>
        <v>0</v>
      </c>
      <c r="AB49" s="52">
        <f t="shared" si="50"/>
        <v>0</v>
      </c>
      <c r="AC49" s="52">
        <f t="shared" si="50"/>
        <v>0</v>
      </c>
      <c r="AD49" s="52">
        <f t="shared" si="50"/>
        <v>0</v>
      </c>
      <c r="AE49" s="52">
        <f t="shared" si="50"/>
        <v>0</v>
      </c>
      <c r="AF49" s="52">
        <f t="shared" si="50"/>
        <v>0</v>
      </c>
      <c r="AG49" s="52">
        <f t="shared" si="50"/>
        <v>0</v>
      </c>
      <c r="AH49" s="52">
        <f t="shared" si="50"/>
        <v>0</v>
      </c>
      <c r="AI49" s="52">
        <f t="shared" si="50"/>
        <v>0</v>
      </c>
      <c r="AJ49" s="52">
        <f t="shared" si="50"/>
        <v>0</v>
      </c>
      <c r="AK49" s="52">
        <f t="shared" si="50"/>
        <v>0</v>
      </c>
      <c r="AL49" s="52">
        <f t="shared" si="50"/>
        <v>0</v>
      </c>
      <c r="AM49" s="52">
        <f t="shared" si="50"/>
        <v>0</v>
      </c>
      <c r="AN49" s="52">
        <f t="shared" si="50"/>
        <v>0</v>
      </c>
      <c r="AO49" s="52">
        <f t="shared" si="50"/>
        <v>0</v>
      </c>
      <c r="AP49" s="52">
        <f t="shared" si="50"/>
        <v>0</v>
      </c>
      <c r="AQ49" s="52">
        <f t="shared" si="50"/>
        <v>0</v>
      </c>
      <c r="AR49" s="52">
        <f t="shared" si="50"/>
        <v>0</v>
      </c>
      <c r="AS49" s="52">
        <f t="shared" si="50"/>
        <v>0</v>
      </c>
    </row>
    <row r="50" spans="1:45" s="57" customFormat="1" x14ac:dyDescent="0.2">
      <c r="A50" s="54" t="s">
        <v>81</v>
      </c>
      <c r="B50" s="54"/>
      <c r="C50" s="87">
        <f t="shared" si="9"/>
        <v>1</v>
      </c>
      <c r="D50" s="55"/>
      <c r="E50" s="55"/>
      <c r="F50" s="56"/>
      <c r="G50" s="56"/>
      <c r="H50" s="56"/>
      <c r="I50" s="56"/>
      <c r="J50" s="56"/>
      <c r="K50" s="56">
        <v>0.25</v>
      </c>
      <c r="L50" s="56"/>
      <c r="M50" s="56"/>
      <c r="N50" s="56"/>
      <c r="O50" s="56">
        <v>0</v>
      </c>
      <c r="P50" s="56">
        <v>0</v>
      </c>
      <c r="Q50" s="56"/>
      <c r="R50" s="56"/>
      <c r="S50" s="56">
        <v>0.25</v>
      </c>
      <c r="T50" s="56">
        <v>0.25</v>
      </c>
      <c r="U50" s="56"/>
      <c r="V50" s="56"/>
      <c r="W50" s="56"/>
      <c r="X50" s="56"/>
      <c r="Y50" s="56">
        <v>0.25</v>
      </c>
      <c r="Z50" s="56">
        <v>0</v>
      </c>
      <c r="AA50" s="56"/>
      <c r="AB50" s="56"/>
      <c r="AC50" s="56"/>
      <c r="AD50" s="56"/>
      <c r="AE50" s="56"/>
      <c r="AF50" s="56">
        <v>0</v>
      </c>
      <c r="AG50" s="56">
        <v>0</v>
      </c>
      <c r="AH50" s="56">
        <v>0</v>
      </c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</row>
    <row r="51" spans="1:45" ht="15.75" x14ac:dyDescent="0.25">
      <c r="A51" s="4" t="s">
        <v>71</v>
      </c>
      <c r="B51" s="304">
        <f>'Бюджет '!F36</f>
        <v>1147665716.9400001</v>
      </c>
      <c r="C51" s="52">
        <f t="shared" si="9"/>
        <v>1147665716.9400001</v>
      </c>
      <c r="D51" s="32"/>
      <c r="E51" s="32"/>
      <c r="F51" s="52">
        <f>F52*$B$51</f>
        <v>0</v>
      </c>
      <c r="G51" s="52">
        <f t="shared" ref="G51:AS51" si="51">G52*$B$51</f>
        <v>0</v>
      </c>
      <c r="H51" s="52">
        <f t="shared" si="51"/>
        <v>0</v>
      </c>
      <c r="I51" s="52">
        <f t="shared" si="51"/>
        <v>0</v>
      </c>
      <c r="J51" s="52">
        <f t="shared" si="51"/>
        <v>0</v>
      </c>
      <c r="K51" s="52">
        <f t="shared" si="51"/>
        <v>0</v>
      </c>
      <c r="L51" s="52">
        <f t="shared" si="51"/>
        <v>0</v>
      </c>
      <c r="M51" s="52">
        <f t="shared" si="51"/>
        <v>344299715.08200002</v>
      </c>
      <c r="N51" s="52">
        <f t="shared" si="51"/>
        <v>344299715.08200002</v>
      </c>
      <c r="O51" s="52">
        <f t="shared" si="51"/>
        <v>0</v>
      </c>
      <c r="P51" s="52">
        <f t="shared" si="51"/>
        <v>0</v>
      </c>
      <c r="Q51" s="52">
        <f t="shared" si="51"/>
        <v>0</v>
      </c>
      <c r="R51" s="52">
        <f t="shared" si="51"/>
        <v>0</v>
      </c>
      <c r="S51" s="52">
        <f t="shared" si="51"/>
        <v>0</v>
      </c>
      <c r="T51" s="52">
        <f t="shared" si="51"/>
        <v>0</v>
      </c>
      <c r="U51" s="52">
        <f t="shared" si="51"/>
        <v>0</v>
      </c>
      <c r="V51" s="52">
        <f t="shared" si="51"/>
        <v>344299715.08200002</v>
      </c>
      <c r="W51" s="52">
        <f t="shared" si="51"/>
        <v>114766571.69400001</v>
      </c>
      <c r="X51" s="52">
        <f t="shared" si="51"/>
        <v>0</v>
      </c>
      <c r="Y51" s="52">
        <f t="shared" si="51"/>
        <v>0</v>
      </c>
      <c r="Z51" s="52">
        <f t="shared" si="51"/>
        <v>0</v>
      </c>
      <c r="AA51" s="52">
        <f t="shared" si="51"/>
        <v>0</v>
      </c>
      <c r="AB51" s="52">
        <f t="shared" si="51"/>
        <v>0</v>
      </c>
      <c r="AC51" s="52">
        <f t="shared" si="51"/>
        <v>0</v>
      </c>
      <c r="AD51" s="52">
        <f t="shared" si="51"/>
        <v>0</v>
      </c>
      <c r="AE51" s="52">
        <f t="shared" si="51"/>
        <v>0</v>
      </c>
      <c r="AF51" s="52">
        <f t="shared" si="51"/>
        <v>0</v>
      </c>
      <c r="AG51" s="52">
        <f t="shared" si="51"/>
        <v>0</v>
      </c>
      <c r="AH51" s="52">
        <f t="shared" si="51"/>
        <v>0</v>
      </c>
      <c r="AI51" s="52">
        <f t="shared" si="51"/>
        <v>0</v>
      </c>
      <c r="AJ51" s="52">
        <f t="shared" si="51"/>
        <v>0</v>
      </c>
      <c r="AK51" s="52">
        <f t="shared" si="51"/>
        <v>0</v>
      </c>
      <c r="AL51" s="52">
        <f t="shared" si="51"/>
        <v>0</v>
      </c>
      <c r="AM51" s="52">
        <f t="shared" si="51"/>
        <v>0</v>
      </c>
      <c r="AN51" s="52">
        <f t="shared" si="51"/>
        <v>0</v>
      </c>
      <c r="AO51" s="52">
        <f t="shared" si="51"/>
        <v>0</v>
      </c>
      <c r="AP51" s="52">
        <f t="shared" si="51"/>
        <v>0</v>
      </c>
      <c r="AQ51" s="52">
        <f t="shared" si="51"/>
        <v>0</v>
      </c>
      <c r="AR51" s="52">
        <f t="shared" si="51"/>
        <v>0</v>
      </c>
      <c r="AS51" s="52">
        <f t="shared" si="51"/>
        <v>0</v>
      </c>
    </row>
    <row r="52" spans="1:45" x14ac:dyDescent="0.2">
      <c r="A52" s="37" t="s">
        <v>81</v>
      </c>
      <c r="B52" s="37"/>
      <c r="C52" s="87">
        <f t="shared" ref="C52:C76" si="52">SUM(F52:AS52)</f>
        <v>0.99999999999999989</v>
      </c>
      <c r="D52" s="26"/>
      <c r="E52" s="26"/>
      <c r="F52" s="29"/>
      <c r="G52" s="29"/>
      <c r="H52" s="29"/>
      <c r="I52" s="29"/>
      <c r="J52" s="29"/>
      <c r="K52" s="29"/>
      <c r="L52" s="29"/>
      <c r="M52" s="29">
        <v>0.3</v>
      </c>
      <c r="N52" s="29">
        <v>0.3</v>
      </c>
      <c r="O52" s="29"/>
      <c r="P52" s="29"/>
      <c r="Q52" s="29"/>
      <c r="R52" s="29"/>
      <c r="S52" s="29"/>
      <c r="T52" s="29"/>
      <c r="U52" s="29"/>
      <c r="V52" s="29">
        <v>0.3</v>
      </c>
      <c r="W52" s="29">
        <v>0.1</v>
      </c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 spans="1:45" ht="15.75" x14ac:dyDescent="0.25">
      <c r="A53" s="4" t="s">
        <v>83</v>
      </c>
      <c r="B53" s="304">
        <f>'Бюджет '!F37</f>
        <v>1355940</v>
      </c>
      <c r="C53" s="52">
        <f>SUM(F53:AS53)</f>
        <v>1355940</v>
      </c>
      <c r="D53" s="32"/>
      <c r="E53" s="32"/>
      <c r="F53" s="52">
        <f>F54*$B$53</f>
        <v>0</v>
      </c>
      <c r="G53" s="52">
        <f t="shared" ref="G53:AS53" si="53">G54*$B$53</f>
        <v>0</v>
      </c>
      <c r="H53" s="52">
        <f t="shared" si="53"/>
        <v>0</v>
      </c>
      <c r="I53" s="52">
        <f t="shared" si="53"/>
        <v>0</v>
      </c>
      <c r="J53" s="52">
        <f t="shared" si="53"/>
        <v>0</v>
      </c>
      <c r="K53" s="52">
        <f t="shared" si="53"/>
        <v>0</v>
      </c>
      <c r="L53" s="52">
        <f t="shared" si="53"/>
        <v>0</v>
      </c>
      <c r="M53" s="52">
        <f t="shared" si="53"/>
        <v>0</v>
      </c>
      <c r="N53" s="52">
        <f t="shared" si="53"/>
        <v>0</v>
      </c>
      <c r="O53" s="52">
        <f t="shared" si="53"/>
        <v>0</v>
      </c>
      <c r="P53" s="52">
        <f t="shared" si="53"/>
        <v>0</v>
      </c>
      <c r="Q53" s="52">
        <f t="shared" si="53"/>
        <v>0</v>
      </c>
      <c r="R53" s="52">
        <f t="shared" si="53"/>
        <v>0</v>
      </c>
      <c r="S53" s="52">
        <f t="shared" si="53"/>
        <v>0</v>
      </c>
      <c r="T53" s="52">
        <f t="shared" si="53"/>
        <v>0</v>
      </c>
      <c r="U53" s="52">
        <f t="shared" si="53"/>
        <v>0</v>
      </c>
      <c r="V53" s="52">
        <f t="shared" si="53"/>
        <v>0</v>
      </c>
      <c r="W53" s="52">
        <f t="shared" si="53"/>
        <v>338985</v>
      </c>
      <c r="X53" s="52">
        <f t="shared" si="53"/>
        <v>338985</v>
      </c>
      <c r="Y53" s="52">
        <f t="shared" si="53"/>
        <v>338985</v>
      </c>
      <c r="Z53" s="52">
        <f t="shared" si="53"/>
        <v>338985</v>
      </c>
      <c r="AA53" s="52">
        <f t="shared" si="53"/>
        <v>0</v>
      </c>
      <c r="AB53" s="52">
        <f t="shared" si="53"/>
        <v>0</v>
      </c>
      <c r="AC53" s="52">
        <f t="shared" si="53"/>
        <v>0</v>
      </c>
      <c r="AD53" s="52">
        <f t="shared" si="53"/>
        <v>0</v>
      </c>
      <c r="AE53" s="52">
        <f t="shared" si="53"/>
        <v>0</v>
      </c>
      <c r="AF53" s="52">
        <f t="shared" si="53"/>
        <v>0</v>
      </c>
      <c r="AG53" s="52">
        <f t="shared" si="53"/>
        <v>0</v>
      </c>
      <c r="AH53" s="52">
        <f t="shared" si="53"/>
        <v>0</v>
      </c>
      <c r="AI53" s="52">
        <f t="shared" si="53"/>
        <v>0</v>
      </c>
      <c r="AJ53" s="52">
        <f t="shared" si="53"/>
        <v>0</v>
      </c>
      <c r="AK53" s="52">
        <f t="shared" si="53"/>
        <v>0</v>
      </c>
      <c r="AL53" s="52">
        <f t="shared" si="53"/>
        <v>0</v>
      </c>
      <c r="AM53" s="52">
        <f t="shared" si="53"/>
        <v>0</v>
      </c>
      <c r="AN53" s="52">
        <f t="shared" si="53"/>
        <v>0</v>
      </c>
      <c r="AO53" s="52">
        <f t="shared" si="53"/>
        <v>0</v>
      </c>
      <c r="AP53" s="52">
        <f t="shared" si="53"/>
        <v>0</v>
      </c>
      <c r="AQ53" s="52">
        <f t="shared" si="53"/>
        <v>0</v>
      </c>
      <c r="AR53" s="52">
        <f t="shared" si="53"/>
        <v>0</v>
      </c>
      <c r="AS53" s="52">
        <f t="shared" si="53"/>
        <v>0</v>
      </c>
    </row>
    <row r="54" spans="1:45" s="57" customFormat="1" x14ac:dyDescent="0.2">
      <c r="A54" s="54" t="s">
        <v>81</v>
      </c>
      <c r="B54" s="54"/>
      <c r="C54" s="87">
        <f>SUM(F54:AS54)</f>
        <v>1</v>
      </c>
      <c r="D54" s="55"/>
      <c r="E54" s="55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>
        <v>0.25</v>
      </c>
      <c r="X54" s="56">
        <v>0.25</v>
      </c>
      <c r="Y54" s="56">
        <v>0.25</v>
      </c>
      <c r="Z54" s="56">
        <v>0.25</v>
      </c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</row>
    <row r="55" spans="1:45" ht="15.75" x14ac:dyDescent="0.25">
      <c r="A55" s="4" t="s">
        <v>72</v>
      </c>
      <c r="B55" s="304">
        <f>'Бюджет '!F39</f>
        <v>16904952.57</v>
      </c>
      <c r="C55" s="52">
        <f>SUM(F55:AS55)</f>
        <v>0</v>
      </c>
      <c r="D55" s="32"/>
      <c r="E55" s="32"/>
      <c r="F55" s="52">
        <f>F56*$B$55</f>
        <v>0</v>
      </c>
      <c r="G55" s="52">
        <f>G56*$B$55</f>
        <v>0</v>
      </c>
      <c r="H55" s="52">
        <f t="shared" ref="H55:AS55" si="54">H56*$B$55</f>
        <v>0</v>
      </c>
      <c r="I55" s="52">
        <f t="shared" si="54"/>
        <v>0</v>
      </c>
      <c r="J55" s="52">
        <f t="shared" si="54"/>
        <v>0</v>
      </c>
      <c r="K55" s="52">
        <f t="shared" si="54"/>
        <v>0</v>
      </c>
      <c r="L55" s="52">
        <f t="shared" si="54"/>
        <v>0</v>
      </c>
      <c r="M55" s="52">
        <f t="shared" si="54"/>
        <v>0</v>
      </c>
      <c r="N55" s="52">
        <f t="shared" si="54"/>
        <v>0</v>
      </c>
      <c r="O55" s="52">
        <f t="shared" si="54"/>
        <v>0</v>
      </c>
      <c r="P55" s="52">
        <f t="shared" si="54"/>
        <v>0</v>
      </c>
      <c r="Q55" s="52">
        <f t="shared" si="54"/>
        <v>0</v>
      </c>
      <c r="R55" s="52">
        <f t="shared" si="54"/>
        <v>0</v>
      </c>
      <c r="S55" s="52">
        <f t="shared" si="54"/>
        <v>0</v>
      </c>
      <c r="T55" s="52">
        <f t="shared" si="54"/>
        <v>0</v>
      </c>
      <c r="U55" s="52">
        <f t="shared" si="54"/>
        <v>0</v>
      </c>
      <c r="V55" s="52">
        <f t="shared" si="54"/>
        <v>0</v>
      </c>
      <c r="W55" s="52">
        <f t="shared" si="54"/>
        <v>0</v>
      </c>
      <c r="X55" s="52">
        <f t="shared" si="54"/>
        <v>0</v>
      </c>
      <c r="Y55" s="52">
        <f t="shared" si="54"/>
        <v>0</v>
      </c>
      <c r="Z55" s="52">
        <f t="shared" si="54"/>
        <v>0</v>
      </c>
      <c r="AA55" s="52">
        <f t="shared" si="54"/>
        <v>0</v>
      </c>
      <c r="AB55" s="52">
        <f t="shared" si="54"/>
        <v>0</v>
      </c>
      <c r="AC55" s="52">
        <f t="shared" si="54"/>
        <v>0</v>
      </c>
      <c r="AD55" s="52">
        <f t="shared" si="54"/>
        <v>0</v>
      </c>
      <c r="AE55" s="52">
        <f t="shared" si="54"/>
        <v>0</v>
      </c>
      <c r="AF55" s="52">
        <f t="shared" si="54"/>
        <v>0</v>
      </c>
      <c r="AG55" s="52">
        <f t="shared" si="54"/>
        <v>0</v>
      </c>
      <c r="AH55" s="52">
        <f t="shared" si="54"/>
        <v>0</v>
      </c>
      <c r="AI55" s="52">
        <f t="shared" si="54"/>
        <v>0</v>
      </c>
      <c r="AJ55" s="52">
        <f t="shared" si="54"/>
        <v>0</v>
      </c>
      <c r="AK55" s="52">
        <f t="shared" si="54"/>
        <v>0</v>
      </c>
      <c r="AL55" s="52">
        <f t="shared" si="54"/>
        <v>0</v>
      </c>
      <c r="AM55" s="52">
        <f t="shared" si="54"/>
        <v>0</v>
      </c>
      <c r="AN55" s="52">
        <f t="shared" si="54"/>
        <v>0</v>
      </c>
      <c r="AO55" s="52">
        <f t="shared" si="54"/>
        <v>0</v>
      </c>
      <c r="AP55" s="52">
        <f t="shared" si="54"/>
        <v>0</v>
      </c>
      <c r="AQ55" s="52">
        <f t="shared" si="54"/>
        <v>0</v>
      </c>
      <c r="AR55" s="52">
        <f t="shared" si="54"/>
        <v>0</v>
      </c>
      <c r="AS55" s="52">
        <f t="shared" si="54"/>
        <v>0</v>
      </c>
    </row>
    <row r="56" spans="1:45" x14ac:dyDescent="0.2">
      <c r="A56" s="37" t="s">
        <v>81</v>
      </c>
      <c r="B56" s="37"/>
      <c r="C56" s="87">
        <f t="shared" si="52"/>
        <v>0</v>
      </c>
      <c r="D56" s="26"/>
      <c r="E56" s="26"/>
      <c r="F56" s="29"/>
      <c r="G56" s="29"/>
      <c r="H56" s="29"/>
      <c r="I56" s="29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29"/>
      <c r="AO56" s="29"/>
      <c r="AP56" s="29"/>
      <c r="AQ56" s="29"/>
      <c r="AR56" s="29"/>
      <c r="AS56" s="29"/>
    </row>
    <row r="57" spans="1:45" ht="15.75" x14ac:dyDescent="0.25">
      <c r="A57" s="4" t="s">
        <v>82</v>
      </c>
      <c r="B57" s="304">
        <f>'Бюджет '!F40</f>
        <v>56837555.649999999</v>
      </c>
      <c r="C57" s="52">
        <f>SUM(F57:AS57)</f>
        <v>56837555.649999984</v>
      </c>
      <c r="D57" s="32"/>
      <c r="E57" s="32"/>
      <c r="F57" s="52">
        <f>F58*$B$57</f>
        <v>0</v>
      </c>
      <c r="G57" s="52">
        <f t="shared" ref="G57:AS57" si="55">G58*$B$57</f>
        <v>0</v>
      </c>
      <c r="H57" s="52">
        <f t="shared" si="55"/>
        <v>0</v>
      </c>
      <c r="I57" s="52">
        <f t="shared" si="55"/>
        <v>2841877.7825000002</v>
      </c>
      <c r="J57" s="52">
        <f t="shared" si="55"/>
        <v>2841877.7825000002</v>
      </c>
      <c r="K57" s="52">
        <f t="shared" si="55"/>
        <v>2841877.7825000002</v>
      </c>
      <c r="L57" s="52">
        <f t="shared" si="55"/>
        <v>2841877.7825000002</v>
      </c>
      <c r="M57" s="52">
        <f t="shared" si="55"/>
        <v>2841877.7825000002</v>
      </c>
      <c r="N57" s="52">
        <f t="shared" si="55"/>
        <v>2841877.7825000002</v>
      </c>
      <c r="O57" s="52">
        <f t="shared" si="55"/>
        <v>2841877.7825000002</v>
      </c>
      <c r="P57" s="52">
        <f t="shared" si="55"/>
        <v>2841877.7825000002</v>
      </c>
      <c r="Q57" s="52">
        <f t="shared" si="55"/>
        <v>2841877.7825000002</v>
      </c>
      <c r="R57" s="52">
        <f t="shared" si="55"/>
        <v>2841877.7825000002</v>
      </c>
      <c r="S57" s="52">
        <f t="shared" si="55"/>
        <v>2841877.7825000002</v>
      </c>
      <c r="T57" s="52">
        <f t="shared" si="55"/>
        <v>2841877.7825000002</v>
      </c>
      <c r="U57" s="52">
        <f t="shared" si="55"/>
        <v>2841877.7825000002</v>
      </c>
      <c r="V57" s="52">
        <f t="shared" si="55"/>
        <v>2841877.7825000002</v>
      </c>
      <c r="W57" s="52">
        <f t="shared" si="55"/>
        <v>2841877.7825000002</v>
      </c>
      <c r="X57" s="52">
        <f t="shared" si="55"/>
        <v>2841877.7825000002</v>
      </c>
      <c r="Y57" s="52">
        <f t="shared" si="55"/>
        <v>2841877.7825000002</v>
      </c>
      <c r="Z57" s="52">
        <f t="shared" si="55"/>
        <v>2841877.7825000002</v>
      </c>
      <c r="AA57" s="52">
        <f t="shared" si="55"/>
        <v>2841877.7825000002</v>
      </c>
      <c r="AB57" s="52">
        <f t="shared" si="55"/>
        <v>2841877.7825000002</v>
      </c>
      <c r="AC57" s="52">
        <f t="shared" si="55"/>
        <v>0</v>
      </c>
      <c r="AD57" s="52">
        <f t="shared" si="55"/>
        <v>0</v>
      </c>
      <c r="AE57" s="52">
        <f t="shared" si="55"/>
        <v>0</v>
      </c>
      <c r="AF57" s="52">
        <f t="shared" si="55"/>
        <v>0</v>
      </c>
      <c r="AG57" s="52">
        <f t="shared" si="55"/>
        <v>0</v>
      </c>
      <c r="AH57" s="52">
        <f t="shared" si="55"/>
        <v>0</v>
      </c>
      <c r="AI57" s="52">
        <f t="shared" si="55"/>
        <v>0</v>
      </c>
      <c r="AJ57" s="52">
        <f t="shared" si="55"/>
        <v>0</v>
      </c>
      <c r="AK57" s="52">
        <f t="shared" si="55"/>
        <v>0</v>
      </c>
      <c r="AL57" s="52">
        <f t="shared" si="55"/>
        <v>0</v>
      </c>
      <c r="AM57" s="52">
        <f t="shared" si="55"/>
        <v>0</v>
      </c>
      <c r="AN57" s="52">
        <f t="shared" si="55"/>
        <v>0</v>
      </c>
      <c r="AO57" s="52">
        <f t="shared" si="55"/>
        <v>0</v>
      </c>
      <c r="AP57" s="52">
        <f t="shared" si="55"/>
        <v>0</v>
      </c>
      <c r="AQ57" s="52">
        <f t="shared" si="55"/>
        <v>0</v>
      </c>
      <c r="AR57" s="52">
        <f t="shared" si="55"/>
        <v>0</v>
      </c>
      <c r="AS57" s="52">
        <f t="shared" si="55"/>
        <v>0</v>
      </c>
    </row>
    <row r="58" spans="1:45" x14ac:dyDescent="0.2">
      <c r="A58" s="37" t="s">
        <v>81</v>
      </c>
      <c r="B58" s="37"/>
      <c r="C58" s="87">
        <f t="shared" si="52"/>
        <v>1.0000000000000002</v>
      </c>
      <c r="D58" s="26"/>
      <c r="E58" s="26"/>
      <c r="F58" s="29"/>
      <c r="G58" s="29"/>
      <c r="H58" s="29"/>
      <c r="I58" s="29">
        <v>0.05</v>
      </c>
      <c r="J58" s="29">
        <v>0.05</v>
      </c>
      <c r="K58" s="29">
        <v>0.05</v>
      </c>
      <c r="L58" s="29">
        <v>0.05</v>
      </c>
      <c r="M58" s="29">
        <v>0.05</v>
      </c>
      <c r="N58" s="29">
        <v>0.05</v>
      </c>
      <c r="O58" s="29">
        <v>0.05</v>
      </c>
      <c r="P58" s="29">
        <v>0.05</v>
      </c>
      <c r="Q58" s="29">
        <v>0.05</v>
      </c>
      <c r="R58" s="29">
        <v>0.05</v>
      </c>
      <c r="S58" s="29">
        <v>0.05</v>
      </c>
      <c r="T58" s="29">
        <v>0.05</v>
      </c>
      <c r="U58" s="29">
        <v>0.05</v>
      </c>
      <c r="V58" s="29">
        <v>0.05</v>
      </c>
      <c r="W58" s="29">
        <v>0.05</v>
      </c>
      <c r="X58" s="29">
        <v>0.05</v>
      </c>
      <c r="Y58" s="29">
        <v>0.05</v>
      </c>
      <c r="Z58" s="29">
        <v>0.05</v>
      </c>
      <c r="AA58" s="29">
        <v>0.05</v>
      </c>
      <c r="AB58" s="29">
        <v>0.05</v>
      </c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spans="1:45" ht="15.75" x14ac:dyDescent="0.25">
      <c r="A59" s="4" t="s">
        <v>73</v>
      </c>
      <c r="B59" s="304">
        <f>'Бюджет '!F41</f>
        <v>0</v>
      </c>
      <c r="C59" s="52">
        <f>SUM(F59:AS59)</f>
        <v>0</v>
      </c>
      <c r="D59" s="32"/>
      <c r="E59" s="32"/>
      <c r="F59" s="52">
        <f>F60*$B$59</f>
        <v>0</v>
      </c>
      <c r="G59" s="52">
        <f t="shared" ref="G59:AS59" si="56">G60*$B$59</f>
        <v>0</v>
      </c>
      <c r="H59" s="52">
        <f t="shared" si="56"/>
        <v>0</v>
      </c>
      <c r="I59" s="52">
        <f t="shared" si="56"/>
        <v>0</v>
      </c>
      <c r="J59" s="52">
        <f t="shared" si="56"/>
        <v>0</v>
      </c>
      <c r="K59" s="52">
        <f t="shared" si="56"/>
        <v>0</v>
      </c>
      <c r="L59" s="52">
        <f t="shared" si="56"/>
        <v>0</v>
      </c>
      <c r="M59" s="52">
        <f t="shared" si="56"/>
        <v>0</v>
      </c>
      <c r="N59" s="52">
        <f t="shared" si="56"/>
        <v>0</v>
      </c>
      <c r="O59" s="52">
        <f t="shared" si="56"/>
        <v>0</v>
      </c>
      <c r="P59" s="52">
        <f t="shared" si="56"/>
        <v>0</v>
      </c>
      <c r="Q59" s="52">
        <f t="shared" si="56"/>
        <v>0</v>
      </c>
      <c r="R59" s="52">
        <f t="shared" si="56"/>
        <v>0</v>
      </c>
      <c r="S59" s="52">
        <f t="shared" si="56"/>
        <v>0</v>
      </c>
      <c r="T59" s="52">
        <f t="shared" si="56"/>
        <v>0</v>
      </c>
      <c r="U59" s="52">
        <f t="shared" si="56"/>
        <v>0</v>
      </c>
      <c r="V59" s="52">
        <f t="shared" si="56"/>
        <v>0</v>
      </c>
      <c r="W59" s="52">
        <f t="shared" si="56"/>
        <v>0</v>
      </c>
      <c r="X59" s="52">
        <f t="shared" si="56"/>
        <v>0</v>
      </c>
      <c r="Y59" s="52">
        <f t="shared" si="56"/>
        <v>0</v>
      </c>
      <c r="Z59" s="52">
        <f t="shared" si="56"/>
        <v>0</v>
      </c>
      <c r="AA59" s="52">
        <f t="shared" si="56"/>
        <v>0</v>
      </c>
      <c r="AB59" s="52">
        <f t="shared" si="56"/>
        <v>0</v>
      </c>
      <c r="AC59" s="52">
        <f t="shared" si="56"/>
        <v>0</v>
      </c>
      <c r="AD59" s="52">
        <f t="shared" si="56"/>
        <v>0</v>
      </c>
      <c r="AE59" s="52">
        <f t="shared" si="56"/>
        <v>0</v>
      </c>
      <c r="AF59" s="52">
        <f t="shared" si="56"/>
        <v>0</v>
      </c>
      <c r="AG59" s="52">
        <f t="shared" si="56"/>
        <v>0</v>
      </c>
      <c r="AH59" s="52">
        <f t="shared" si="56"/>
        <v>0</v>
      </c>
      <c r="AI59" s="52">
        <f t="shared" si="56"/>
        <v>0</v>
      </c>
      <c r="AJ59" s="52">
        <f t="shared" si="56"/>
        <v>0</v>
      </c>
      <c r="AK59" s="52">
        <f t="shared" si="56"/>
        <v>0</v>
      </c>
      <c r="AL59" s="52">
        <f t="shared" si="56"/>
        <v>0</v>
      </c>
      <c r="AM59" s="52">
        <f t="shared" si="56"/>
        <v>0</v>
      </c>
      <c r="AN59" s="52">
        <f t="shared" si="56"/>
        <v>0</v>
      </c>
      <c r="AO59" s="52">
        <f t="shared" si="56"/>
        <v>0</v>
      </c>
      <c r="AP59" s="52">
        <f t="shared" si="56"/>
        <v>0</v>
      </c>
      <c r="AQ59" s="52">
        <f t="shared" si="56"/>
        <v>0</v>
      </c>
      <c r="AR59" s="52">
        <f t="shared" si="56"/>
        <v>0</v>
      </c>
      <c r="AS59" s="52">
        <f t="shared" si="56"/>
        <v>0</v>
      </c>
    </row>
    <row r="60" spans="1:45" x14ac:dyDescent="0.2">
      <c r="A60" s="37" t="s">
        <v>81</v>
      </c>
      <c r="B60" s="37"/>
      <c r="C60" s="87">
        <f t="shared" si="52"/>
        <v>1</v>
      </c>
      <c r="D60" s="26"/>
      <c r="E60" s="26"/>
      <c r="F60" s="29"/>
      <c r="G60" s="29"/>
      <c r="H60" s="29"/>
      <c r="I60" s="29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>
        <v>0.2</v>
      </c>
      <c r="W60" s="56">
        <v>0.2</v>
      </c>
      <c r="X60" s="56">
        <v>0.2</v>
      </c>
      <c r="Y60" s="56">
        <v>0.2</v>
      </c>
      <c r="Z60" s="56">
        <v>0.2</v>
      </c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29"/>
      <c r="AL60" s="29"/>
      <c r="AM60" s="29"/>
      <c r="AN60" s="29"/>
      <c r="AO60" s="29"/>
      <c r="AP60" s="29"/>
      <c r="AQ60" s="29"/>
      <c r="AR60" s="29"/>
      <c r="AS60" s="29"/>
    </row>
    <row r="61" spans="1:45" ht="15.75" x14ac:dyDescent="0.25">
      <c r="A61" s="4" t="s">
        <v>74</v>
      </c>
      <c r="B61" s="304">
        <f>'Бюджет '!F42</f>
        <v>202839.89288924914</v>
      </c>
      <c r="C61" s="52">
        <f>SUM(F61:AS61)</f>
        <v>252738.50654000446</v>
      </c>
      <c r="D61" s="32"/>
      <c r="E61" s="32"/>
      <c r="F61" s="52">
        <f>F62*$B$61</f>
        <v>1014.1994644462458</v>
      </c>
      <c r="G61" s="52">
        <f t="shared" ref="G61:AS61" si="57">G62*$B$61</f>
        <v>1014.1994644462458</v>
      </c>
      <c r="H61" s="52">
        <f t="shared" si="57"/>
        <v>6085.1967866774739</v>
      </c>
      <c r="I61" s="52">
        <f t="shared" si="57"/>
        <v>6085.1967866774739</v>
      </c>
      <c r="J61" s="52">
        <f t="shared" si="57"/>
        <v>6085.1967866774739</v>
      </c>
      <c r="K61" s="52">
        <f t="shared" si="57"/>
        <v>6085.1967866774739</v>
      </c>
      <c r="L61" s="52">
        <f t="shared" si="57"/>
        <v>8113.5957155699662</v>
      </c>
      <c r="M61" s="52">
        <f t="shared" si="57"/>
        <v>8113.5957155699662</v>
      </c>
      <c r="N61" s="52">
        <f t="shared" si="57"/>
        <v>8113.5957155699662</v>
      </c>
      <c r="O61" s="52">
        <f t="shared" si="57"/>
        <v>14482.768352292389</v>
      </c>
      <c r="P61" s="52">
        <f t="shared" si="57"/>
        <v>14482.768352292389</v>
      </c>
      <c r="Q61" s="52">
        <f t="shared" si="57"/>
        <v>14482.768352292389</v>
      </c>
      <c r="R61" s="52">
        <f t="shared" si="57"/>
        <v>14482.768352292389</v>
      </c>
      <c r="S61" s="52">
        <f t="shared" si="57"/>
        <v>28600.424897384124</v>
      </c>
      <c r="T61" s="52">
        <f t="shared" si="57"/>
        <v>28600.424897384124</v>
      </c>
      <c r="U61" s="52">
        <f t="shared" si="57"/>
        <v>14482.768352292389</v>
      </c>
      <c r="V61" s="52">
        <f t="shared" si="57"/>
        <v>14482.768352292389</v>
      </c>
      <c r="W61" s="52">
        <f t="shared" si="57"/>
        <v>14482.768352292389</v>
      </c>
      <c r="X61" s="52">
        <f t="shared" si="57"/>
        <v>14482.768352292389</v>
      </c>
      <c r="Y61" s="52">
        <f t="shared" si="57"/>
        <v>14482.768352292389</v>
      </c>
      <c r="Z61" s="52">
        <f t="shared" si="57"/>
        <v>14482.768352292389</v>
      </c>
      <c r="AA61" s="52">
        <f t="shared" si="57"/>
        <v>0</v>
      </c>
      <c r="AB61" s="52">
        <f t="shared" si="57"/>
        <v>0</v>
      </c>
      <c r="AC61" s="52">
        <f t="shared" si="57"/>
        <v>0</v>
      </c>
      <c r="AD61" s="52">
        <f t="shared" si="57"/>
        <v>0</v>
      </c>
      <c r="AE61" s="52">
        <f t="shared" si="57"/>
        <v>0</v>
      </c>
      <c r="AF61" s="52">
        <f t="shared" si="57"/>
        <v>0</v>
      </c>
      <c r="AG61" s="52">
        <f t="shared" si="57"/>
        <v>0</v>
      </c>
      <c r="AH61" s="52">
        <f t="shared" si="57"/>
        <v>0</v>
      </c>
      <c r="AI61" s="52">
        <f t="shared" si="57"/>
        <v>0</v>
      </c>
      <c r="AJ61" s="52">
        <f t="shared" si="57"/>
        <v>0</v>
      </c>
      <c r="AK61" s="52">
        <f t="shared" si="57"/>
        <v>0</v>
      </c>
      <c r="AL61" s="52">
        <f t="shared" si="57"/>
        <v>0</v>
      </c>
      <c r="AM61" s="52">
        <f t="shared" si="57"/>
        <v>0</v>
      </c>
      <c r="AN61" s="52">
        <f t="shared" si="57"/>
        <v>0</v>
      </c>
      <c r="AO61" s="52">
        <f t="shared" si="57"/>
        <v>0</v>
      </c>
      <c r="AP61" s="52">
        <f t="shared" si="57"/>
        <v>0</v>
      </c>
      <c r="AQ61" s="52">
        <f t="shared" si="57"/>
        <v>0</v>
      </c>
      <c r="AR61" s="52">
        <f t="shared" si="57"/>
        <v>0</v>
      </c>
      <c r="AS61" s="52">
        <f t="shared" si="57"/>
        <v>0</v>
      </c>
    </row>
    <row r="62" spans="1:45" x14ac:dyDescent="0.2">
      <c r="A62" s="37" t="s">
        <v>81</v>
      </c>
      <c r="B62" s="37"/>
      <c r="C62" s="87">
        <f t="shared" si="52"/>
        <v>1.2459999999999998</v>
      </c>
      <c r="D62" s="26"/>
      <c r="E62" s="26"/>
      <c r="F62" s="56">
        <f t="shared" ref="F62:N62" si="58">F44</f>
        <v>5.0000000000000001E-3</v>
      </c>
      <c r="G62" s="56">
        <f t="shared" si="58"/>
        <v>5.0000000000000001E-3</v>
      </c>
      <c r="H62" s="56">
        <f t="shared" si="58"/>
        <v>0.03</v>
      </c>
      <c r="I62" s="56">
        <f t="shared" si="58"/>
        <v>0.03</v>
      </c>
      <c r="J62" s="56">
        <f t="shared" si="58"/>
        <v>0.03</v>
      </c>
      <c r="K62" s="56">
        <f t="shared" si="58"/>
        <v>0.03</v>
      </c>
      <c r="L62" s="56">
        <f t="shared" si="58"/>
        <v>0.04</v>
      </c>
      <c r="M62" s="56">
        <f t="shared" si="58"/>
        <v>0.04</v>
      </c>
      <c r="N62" s="56">
        <f t="shared" si="58"/>
        <v>0.04</v>
      </c>
      <c r="O62" s="56">
        <v>7.1400000000000005E-2</v>
      </c>
      <c r="P62" s="56">
        <v>7.1400000000000005E-2</v>
      </c>
      <c r="Q62" s="56">
        <v>7.1400000000000005E-2</v>
      </c>
      <c r="R62" s="56">
        <v>7.1400000000000005E-2</v>
      </c>
      <c r="S62" s="56">
        <v>0.14099999999999999</v>
      </c>
      <c r="T62" s="56">
        <v>0.14099999999999999</v>
      </c>
      <c r="U62" s="56">
        <v>7.1400000000000005E-2</v>
      </c>
      <c r="V62" s="56">
        <v>7.1400000000000005E-2</v>
      </c>
      <c r="W62" s="56">
        <v>7.1400000000000005E-2</v>
      </c>
      <c r="X62" s="56">
        <v>7.1400000000000005E-2</v>
      </c>
      <c r="Y62" s="56">
        <v>7.1400000000000005E-2</v>
      </c>
      <c r="Z62" s="56">
        <v>7.1400000000000005E-2</v>
      </c>
      <c r="AA62" s="56">
        <f t="shared" ref="AA62:AS62" si="59">AA44</f>
        <v>0</v>
      </c>
      <c r="AB62" s="56">
        <f t="shared" si="59"/>
        <v>0</v>
      </c>
      <c r="AC62" s="56">
        <f t="shared" si="59"/>
        <v>0</v>
      </c>
      <c r="AD62" s="56">
        <f t="shared" si="59"/>
        <v>0</v>
      </c>
      <c r="AE62" s="56">
        <f t="shared" si="59"/>
        <v>0</v>
      </c>
      <c r="AF62" s="56">
        <f t="shared" si="59"/>
        <v>0</v>
      </c>
      <c r="AG62" s="56">
        <f t="shared" si="59"/>
        <v>0</v>
      </c>
      <c r="AH62" s="56">
        <f t="shared" si="59"/>
        <v>0</v>
      </c>
      <c r="AI62" s="56">
        <f t="shared" si="59"/>
        <v>0</v>
      </c>
      <c r="AJ62" s="56">
        <f t="shared" si="59"/>
        <v>0</v>
      </c>
      <c r="AK62" s="56">
        <f t="shared" si="59"/>
        <v>0</v>
      </c>
      <c r="AL62" s="56">
        <f t="shared" si="59"/>
        <v>0</v>
      </c>
      <c r="AM62" s="56">
        <f t="shared" si="59"/>
        <v>0</v>
      </c>
      <c r="AN62" s="56">
        <f t="shared" si="59"/>
        <v>0</v>
      </c>
      <c r="AO62" s="56">
        <f t="shared" si="59"/>
        <v>0</v>
      </c>
      <c r="AP62" s="56">
        <f t="shared" si="59"/>
        <v>0</v>
      </c>
      <c r="AQ62" s="56">
        <f t="shared" si="59"/>
        <v>0</v>
      </c>
      <c r="AR62" s="56">
        <f t="shared" si="59"/>
        <v>0</v>
      </c>
      <c r="AS62" s="56">
        <f t="shared" si="59"/>
        <v>0</v>
      </c>
    </row>
    <row r="63" spans="1:45" ht="15.75" x14ac:dyDescent="0.25">
      <c r="A63" s="98" t="s">
        <v>75</v>
      </c>
      <c r="B63" s="305">
        <f>'Бюджет '!F43</f>
        <v>2383139493</v>
      </c>
      <c r="C63" s="52">
        <f>SUM(F63:AS63)</f>
        <v>2383139493</v>
      </c>
      <c r="D63" s="32"/>
      <c r="E63" s="32"/>
      <c r="F63" s="52">
        <f>F64*$B$63</f>
        <v>11915697.465</v>
      </c>
      <c r="G63" s="52">
        <f t="shared" ref="G63:AS63" si="60">G64*$B$63</f>
        <v>11915697.465</v>
      </c>
      <c r="H63" s="52">
        <f t="shared" si="60"/>
        <v>71494184.789999992</v>
      </c>
      <c r="I63" s="52">
        <f t="shared" si="60"/>
        <v>71494184.789999992</v>
      </c>
      <c r="J63" s="52">
        <f t="shared" si="60"/>
        <v>71494184.789999992</v>
      </c>
      <c r="K63" s="52">
        <f t="shared" si="60"/>
        <v>71494184.789999992</v>
      </c>
      <c r="L63" s="52">
        <f t="shared" si="60"/>
        <v>95325579.719999999</v>
      </c>
      <c r="M63" s="52">
        <f t="shared" si="60"/>
        <v>95325579.719999999</v>
      </c>
      <c r="N63" s="52">
        <f t="shared" si="60"/>
        <v>95325579.719999999</v>
      </c>
      <c r="O63" s="52">
        <f t="shared" si="60"/>
        <v>95325579.719999999</v>
      </c>
      <c r="P63" s="52">
        <f t="shared" si="60"/>
        <v>119156974.65000001</v>
      </c>
      <c r="Q63" s="52">
        <f t="shared" si="60"/>
        <v>166819764.51000002</v>
      </c>
      <c r="R63" s="52">
        <f t="shared" si="60"/>
        <v>166819764.51000002</v>
      </c>
      <c r="S63" s="52">
        <f t="shared" si="60"/>
        <v>166819764.51000002</v>
      </c>
      <c r="T63" s="52">
        <f t="shared" si="60"/>
        <v>166819764.51000002</v>
      </c>
      <c r="U63" s="52">
        <f t="shared" si="60"/>
        <v>166819764.51000002</v>
      </c>
      <c r="V63" s="52">
        <f t="shared" si="60"/>
        <v>166819764.51000002</v>
      </c>
      <c r="W63" s="52">
        <f t="shared" si="60"/>
        <v>166819764.51000002</v>
      </c>
      <c r="X63" s="52">
        <f t="shared" si="60"/>
        <v>166819764.51000002</v>
      </c>
      <c r="Y63" s="52">
        <f t="shared" si="60"/>
        <v>119156974.65000001</v>
      </c>
      <c r="Z63" s="52">
        <f t="shared" si="60"/>
        <v>119156974.65000001</v>
      </c>
      <c r="AA63" s="52">
        <f t="shared" si="60"/>
        <v>0</v>
      </c>
      <c r="AB63" s="52">
        <f t="shared" si="60"/>
        <v>0</v>
      </c>
      <c r="AC63" s="52">
        <f t="shared" si="60"/>
        <v>0</v>
      </c>
      <c r="AD63" s="52">
        <f t="shared" si="60"/>
        <v>0</v>
      </c>
      <c r="AE63" s="52">
        <f t="shared" si="60"/>
        <v>0</v>
      </c>
      <c r="AF63" s="52">
        <f t="shared" si="60"/>
        <v>0</v>
      </c>
      <c r="AG63" s="52">
        <f t="shared" si="60"/>
        <v>0</v>
      </c>
      <c r="AH63" s="52">
        <f t="shared" si="60"/>
        <v>0</v>
      </c>
      <c r="AI63" s="52">
        <f t="shared" si="60"/>
        <v>0</v>
      </c>
      <c r="AJ63" s="52">
        <f t="shared" si="60"/>
        <v>0</v>
      </c>
      <c r="AK63" s="52">
        <f t="shared" si="60"/>
        <v>0</v>
      </c>
      <c r="AL63" s="52">
        <f t="shared" si="60"/>
        <v>0</v>
      </c>
      <c r="AM63" s="52">
        <f t="shared" si="60"/>
        <v>0</v>
      </c>
      <c r="AN63" s="52">
        <f t="shared" si="60"/>
        <v>0</v>
      </c>
      <c r="AO63" s="52">
        <f t="shared" si="60"/>
        <v>0</v>
      </c>
      <c r="AP63" s="52">
        <f t="shared" si="60"/>
        <v>0</v>
      </c>
      <c r="AQ63" s="52">
        <f t="shared" si="60"/>
        <v>0</v>
      </c>
      <c r="AR63" s="52">
        <f t="shared" si="60"/>
        <v>0</v>
      </c>
      <c r="AS63" s="52">
        <f t="shared" si="60"/>
        <v>0</v>
      </c>
    </row>
    <row r="64" spans="1:45" x14ac:dyDescent="0.2">
      <c r="A64" s="37" t="s">
        <v>81</v>
      </c>
      <c r="B64" s="37"/>
      <c r="C64" s="87">
        <f t="shared" si="52"/>
        <v>1.0000000000000004</v>
      </c>
      <c r="D64" s="26"/>
      <c r="E64" s="26"/>
      <c r="F64" s="56">
        <v>5.0000000000000001E-3</v>
      </c>
      <c r="G64" s="56">
        <v>5.0000000000000001E-3</v>
      </c>
      <c r="H64" s="56">
        <v>0.03</v>
      </c>
      <c r="I64" s="56">
        <v>0.03</v>
      </c>
      <c r="J64" s="56">
        <v>0.03</v>
      </c>
      <c r="K64" s="56">
        <v>0.03</v>
      </c>
      <c r="L64" s="56">
        <v>0.04</v>
      </c>
      <c r="M64" s="56">
        <v>0.04</v>
      </c>
      <c r="N64" s="56">
        <v>0.04</v>
      </c>
      <c r="O64" s="56">
        <v>0.04</v>
      </c>
      <c r="P64" s="56">
        <v>0.05</v>
      </c>
      <c r="Q64" s="56">
        <v>7.0000000000000007E-2</v>
      </c>
      <c r="R64" s="56">
        <v>7.0000000000000007E-2</v>
      </c>
      <c r="S64" s="56">
        <v>7.0000000000000007E-2</v>
      </c>
      <c r="T64" s="56">
        <v>7.0000000000000007E-2</v>
      </c>
      <c r="U64" s="56">
        <v>7.0000000000000007E-2</v>
      </c>
      <c r="V64" s="56">
        <v>7.0000000000000007E-2</v>
      </c>
      <c r="W64" s="56">
        <v>7.0000000000000007E-2</v>
      </c>
      <c r="X64" s="56">
        <v>7.0000000000000007E-2</v>
      </c>
      <c r="Y64" s="56">
        <v>0.05</v>
      </c>
      <c r="Z64" s="56">
        <v>0.05</v>
      </c>
      <c r="AA64" s="56">
        <f t="shared" ref="AA64:AS64" si="61">AA44</f>
        <v>0</v>
      </c>
      <c r="AB64" s="56">
        <f t="shared" si="61"/>
        <v>0</v>
      </c>
      <c r="AC64" s="56">
        <f t="shared" si="61"/>
        <v>0</v>
      </c>
      <c r="AD64" s="56">
        <f t="shared" si="61"/>
        <v>0</v>
      </c>
      <c r="AE64" s="56">
        <f t="shared" si="61"/>
        <v>0</v>
      </c>
      <c r="AF64" s="56">
        <f t="shared" si="61"/>
        <v>0</v>
      </c>
      <c r="AG64" s="56">
        <f t="shared" si="61"/>
        <v>0</v>
      </c>
      <c r="AH64" s="56">
        <f t="shared" si="61"/>
        <v>0</v>
      </c>
      <c r="AI64" s="56">
        <f t="shared" si="61"/>
        <v>0</v>
      </c>
      <c r="AJ64" s="56">
        <f t="shared" si="61"/>
        <v>0</v>
      </c>
      <c r="AK64" s="56">
        <f t="shared" si="61"/>
        <v>0</v>
      </c>
      <c r="AL64" s="56">
        <f t="shared" si="61"/>
        <v>0</v>
      </c>
      <c r="AM64" s="56">
        <f t="shared" si="61"/>
        <v>0</v>
      </c>
      <c r="AN64" s="56">
        <f t="shared" si="61"/>
        <v>0</v>
      </c>
      <c r="AO64" s="56">
        <f t="shared" si="61"/>
        <v>0</v>
      </c>
      <c r="AP64" s="56">
        <f t="shared" si="61"/>
        <v>0</v>
      </c>
      <c r="AQ64" s="56">
        <f t="shared" si="61"/>
        <v>0</v>
      </c>
      <c r="AR64" s="56">
        <f t="shared" si="61"/>
        <v>0</v>
      </c>
      <c r="AS64" s="56">
        <f t="shared" si="61"/>
        <v>0</v>
      </c>
    </row>
    <row r="65" spans="1:45" s="320" customFormat="1" ht="15.75" x14ac:dyDescent="0.25">
      <c r="A65" s="316" t="s">
        <v>76</v>
      </c>
      <c r="B65" s="317">
        <f>'Бюджет '!F44</f>
        <v>0</v>
      </c>
      <c r="C65" s="52">
        <f>SUM(F65:AS65)</f>
        <v>0</v>
      </c>
      <c r="D65" s="318"/>
      <c r="E65" s="318"/>
      <c r="F65" s="319">
        <f>F66*$B$65</f>
        <v>0</v>
      </c>
      <c r="G65" s="319">
        <f t="shared" ref="G65:AS65" si="62">G66*$B$65</f>
        <v>0</v>
      </c>
      <c r="H65" s="319">
        <f t="shared" si="62"/>
        <v>0</v>
      </c>
      <c r="I65" s="319">
        <f t="shared" si="62"/>
        <v>0</v>
      </c>
      <c r="J65" s="319">
        <f t="shared" si="62"/>
        <v>0</v>
      </c>
      <c r="K65" s="319">
        <f t="shared" si="62"/>
        <v>0</v>
      </c>
      <c r="L65" s="319">
        <f t="shared" si="62"/>
        <v>0</v>
      </c>
      <c r="M65" s="319">
        <f t="shared" si="62"/>
        <v>0</v>
      </c>
      <c r="N65" s="319">
        <f t="shared" si="62"/>
        <v>0</v>
      </c>
      <c r="O65" s="319">
        <f t="shared" si="62"/>
        <v>0</v>
      </c>
      <c r="P65" s="319">
        <f t="shared" si="62"/>
        <v>0</v>
      </c>
      <c r="Q65" s="319">
        <f t="shared" si="62"/>
        <v>0</v>
      </c>
      <c r="R65" s="319">
        <f t="shared" si="62"/>
        <v>0</v>
      </c>
      <c r="S65" s="319">
        <f t="shared" si="62"/>
        <v>0</v>
      </c>
      <c r="T65" s="319">
        <f t="shared" si="62"/>
        <v>0</v>
      </c>
      <c r="U65" s="319">
        <f t="shared" si="62"/>
        <v>0</v>
      </c>
      <c r="V65" s="319">
        <f t="shared" si="62"/>
        <v>0</v>
      </c>
      <c r="W65" s="319">
        <f t="shared" si="62"/>
        <v>0</v>
      </c>
      <c r="X65" s="319">
        <f t="shared" si="62"/>
        <v>0</v>
      </c>
      <c r="Y65" s="319">
        <f t="shared" si="62"/>
        <v>0</v>
      </c>
      <c r="Z65" s="319">
        <f t="shared" si="62"/>
        <v>0</v>
      </c>
      <c r="AA65" s="319">
        <f t="shared" si="62"/>
        <v>0</v>
      </c>
      <c r="AB65" s="319">
        <f t="shared" si="62"/>
        <v>0</v>
      </c>
      <c r="AC65" s="319">
        <f t="shared" si="62"/>
        <v>0</v>
      </c>
      <c r="AD65" s="319">
        <f t="shared" si="62"/>
        <v>0</v>
      </c>
      <c r="AE65" s="319">
        <f t="shared" si="62"/>
        <v>0</v>
      </c>
      <c r="AF65" s="319">
        <f t="shared" si="62"/>
        <v>0</v>
      </c>
      <c r="AG65" s="319">
        <f t="shared" si="62"/>
        <v>0</v>
      </c>
      <c r="AH65" s="319">
        <f t="shared" si="62"/>
        <v>0</v>
      </c>
      <c r="AI65" s="319">
        <f t="shared" si="62"/>
        <v>0</v>
      </c>
      <c r="AJ65" s="319">
        <f t="shared" si="62"/>
        <v>0</v>
      </c>
      <c r="AK65" s="319">
        <f t="shared" si="62"/>
        <v>0</v>
      </c>
      <c r="AL65" s="319">
        <f t="shared" si="62"/>
        <v>0</v>
      </c>
      <c r="AM65" s="319">
        <f t="shared" si="62"/>
        <v>0</v>
      </c>
      <c r="AN65" s="319">
        <f t="shared" si="62"/>
        <v>0</v>
      </c>
      <c r="AO65" s="319">
        <f t="shared" si="62"/>
        <v>0</v>
      </c>
      <c r="AP65" s="319">
        <f t="shared" si="62"/>
        <v>0</v>
      </c>
      <c r="AQ65" s="319">
        <f t="shared" si="62"/>
        <v>0</v>
      </c>
      <c r="AR65" s="319">
        <f t="shared" si="62"/>
        <v>0</v>
      </c>
      <c r="AS65" s="319">
        <f t="shared" si="62"/>
        <v>0</v>
      </c>
    </row>
    <row r="66" spans="1:45" x14ac:dyDescent="0.2">
      <c r="A66" s="37" t="s">
        <v>81</v>
      </c>
      <c r="B66" s="37"/>
      <c r="C66" s="87">
        <f t="shared" si="52"/>
        <v>0</v>
      </c>
      <c r="D66" s="26"/>
      <c r="E66" s="26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spans="1:45" s="320" customFormat="1" ht="15.75" x14ac:dyDescent="0.25">
      <c r="A67" s="316" t="s">
        <v>77</v>
      </c>
      <c r="B67" s="317">
        <f>'Бюджет '!F45</f>
        <v>88670039</v>
      </c>
      <c r="C67" s="52">
        <f>SUM(F67:AS67)</f>
        <v>88670039</v>
      </c>
      <c r="D67" s="318"/>
      <c r="E67" s="318"/>
      <c r="F67" s="319">
        <f>F68*$B$67</f>
        <v>0</v>
      </c>
      <c r="G67" s="319">
        <f t="shared" ref="G67:AS67" si="63">G68*$B$67</f>
        <v>0</v>
      </c>
      <c r="H67" s="319">
        <f t="shared" si="63"/>
        <v>0</v>
      </c>
      <c r="I67" s="319">
        <f t="shared" si="63"/>
        <v>0</v>
      </c>
      <c r="J67" s="319">
        <f t="shared" si="63"/>
        <v>0</v>
      </c>
      <c r="K67" s="319">
        <f t="shared" si="63"/>
        <v>0</v>
      </c>
      <c r="L67" s="319">
        <f t="shared" si="63"/>
        <v>0</v>
      </c>
      <c r="M67" s="319">
        <f t="shared" si="63"/>
        <v>0</v>
      </c>
      <c r="N67" s="319">
        <f t="shared" si="63"/>
        <v>0</v>
      </c>
      <c r="O67" s="319">
        <f t="shared" si="63"/>
        <v>0</v>
      </c>
      <c r="P67" s="319">
        <f t="shared" si="63"/>
        <v>0</v>
      </c>
      <c r="Q67" s="319">
        <f t="shared" si="63"/>
        <v>0</v>
      </c>
      <c r="R67" s="319">
        <f t="shared" si="63"/>
        <v>0</v>
      </c>
      <c r="S67" s="319">
        <f t="shared" si="63"/>
        <v>0</v>
      </c>
      <c r="T67" s="319">
        <f t="shared" si="63"/>
        <v>0</v>
      </c>
      <c r="U67" s="319">
        <f t="shared" si="63"/>
        <v>0</v>
      </c>
      <c r="V67" s="319">
        <f t="shared" si="63"/>
        <v>0</v>
      </c>
      <c r="W67" s="319">
        <f t="shared" si="63"/>
        <v>0</v>
      </c>
      <c r="X67" s="319">
        <f t="shared" si="63"/>
        <v>0</v>
      </c>
      <c r="Y67" s="319">
        <f t="shared" si="63"/>
        <v>22167509.75</v>
      </c>
      <c r="Z67" s="319">
        <f t="shared" si="63"/>
        <v>22167509.75</v>
      </c>
      <c r="AA67" s="319">
        <f t="shared" si="63"/>
        <v>22167509.75</v>
      </c>
      <c r="AB67" s="319">
        <f t="shared" si="63"/>
        <v>22167509.75</v>
      </c>
      <c r="AC67" s="319">
        <f t="shared" si="63"/>
        <v>0</v>
      </c>
      <c r="AD67" s="319">
        <f t="shared" si="63"/>
        <v>0</v>
      </c>
      <c r="AE67" s="319">
        <f t="shared" si="63"/>
        <v>0</v>
      </c>
      <c r="AF67" s="319">
        <f t="shared" si="63"/>
        <v>0</v>
      </c>
      <c r="AG67" s="319">
        <f t="shared" si="63"/>
        <v>0</v>
      </c>
      <c r="AH67" s="319">
        <f t="shared" si="63"/>
        <v>0</v>
      </c>
      <c r="AI67" s="319">
        <f t="shared" si="63"/>
        <v>0</v>
      </c>
      <c r="AJ67" s="319">
        <f t="shared" si="63"/>
        <v>0</v>
      </c>
      <c r="AK67" s="319">
        <f t="shared" si="63"/>
        <v>0</v>
      </c>
      <c r="AL67" s="319">
        <f t="shared" si="63"/>
        <v>0</v>
      </c>
      <c r="AM67" s="319">
        <f t="shared" si="63"/>
        <v>0</v>
      </c>
      <c r="AN67" s="319">
        <f t="shared" si="63"/>
        <v>0</v>
      </c>
      <c r="AO67" s="319">
        <f t="shared" si="63"/>
        <v>0</v>
      </c>
      <c r="AP67" s="319">
        <f t="shared" si="63"/>
        <v>0</v>
      </c>
      <c r="AQ67" s="319">
        <f t="shared" si="63"/>
        <v>0</v>
      </c>
      <c r="AR67" s="319">
        <f t="shared" si="63"/>
        <v>0</v>
      </c>
      <c r="AS67" s="319">
        <f t="shared" si="63"/>
        <v>0</v>
      </c>
    </row>
    <row r="68" spans="1:45" x14ac:dyDescent="0.2">
      <c r="A68" s="37" t="s">
        <v>81</v>
      </c>
      <c r="B68" s="37"/>
      <c r="C68" s="87">
        <f t="shared" si="52"/>
        <v>1</v>
      </c>
      <c r="D68" s="26"/>
      <c r="E68" s="26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>
        <v>0.25</v>
      </c>
      <c r="Z68" s="29">
        <v>0.25</v>
      </c>
      <c r="AA68" s="29">
        <v>0.25</v>
      </c>
      <c r="AB68" s="29">
        <v>0.25</v>
      </c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 spans="1:45" ht="15.75" x14ac:dyDescent="0.25">
      <c r="A69" s="4" t="s">
        <v>78</v>
      </c>
      <c r="B69" s="304">
        <f>'Бюджет '!F46</f>
        <v>0</v>
      </c>
      <c r="C69" s="52">
        <f>SUM(F69:AS69)</f>
        <v>0</v>
      </c>
      <c r="D69" s="32"/>
      <c r="E69" s="32"/>
      <c r="F69" s="33">
        <f>F70*$B$69</f>
        <v>0</v>
      </c>
      <c r="G69" s="33">
        <f t="shared" ref="G69:AS69" si="64">G70*$B$69</f>
        <v>0</v>
      </c>
      <c r="H69" s="33">
        <f t="shared" si="64"/>
        <v>0</v>
      </c>
      <c r="I69" s="33">
        <f t="shared" si="64"/>
        <v>0</v>
      </c>
      <c r="J69" s="33">
        <f t="shared" si="64"/>
        <v>0</v>
      </c>
      <c r="K69" s="33">
        <f t="shared" si="64"/>
        <v>0</v>
      </c>
      <c r="L69" s="33">
        <f t="shared" si="64"/>
        <v>0</v>
      </c>
      <c r="M69" s="33">
        <f t="shared" si="64"/>
        <v>0</v>
      </c>
      <c r="N69" s="33">
        <f t="shared" si="64"/>
        <v>0</v>
      </c>
      <c r="O69" s="33">
        <f t="shared" si="64"/>
        <v>0</v>
      </c>
      <c r="P69" s="33">
        <f t="shared" si="64"/>
        <v>0</v>
      </c>
      <c r="Q69" s="33">
        <f t="shared" si="64"/>
        <v>0</v>
      </c>
      <c r="R69" s="33">
        <f t="shared" si="64"/>
        <v>0</v>
      </c>
      <c r="S69" s="33">
        <f t="shared" si="64"/>
        <v>0</v>
      </c>
      <c r="T69" s="33">
        <f t="shared" si="64"/>
        <v>0</v>
      </c>
      <c r="U69" s="33">
        <f t="shared" si="64"/>
        <v>0</v>
      </c>
      <c r="V69" s="33">
        <f t="shared" si="64"/>
        <v>0</v>
      </c>
      <c r="W69" s="33">
        <f t="shared" si="64"/>
        <v>0</v>
      </c>
      <c r="X69" s="33">
        <f t="shared" si="64"/>
        <v>0</v>
      </c>
      <c r="Y69" s="33">
        <f t="shared" si="64"/>
        <v>0</v>
      </c>
      <c r="Z69" s="33">
        <f t="shared" si="64"/>
        <v>0</v>
      </c>
      <c r="AA69" s="33">
        <f t="shared" si="64"/>
        <v>0</v>
      </c>
      <c r="AB69" s="33">
        <f t="shared" si="64"/>
        <v>0</v>
      </c>
      <c r="AC69" s="33">
        <f t="shared" si="64"/>
        <v>0</v>
      </c>
      <c r="AD69" s="33">
        <f t="shared" si="64"/>
        <v>0</v>
      </c>
      <c r="AE69" s="33">
        <f t="shared" si="64"/>
        <v>0</v>
      </c>
      <c r="AF69" s="33">
        <f t="shared" si="64"/>
        <v>0</v>
      </c>
      <c r="AG69" s="33">
        <f t="shared" si="64"/>
        <v>0</v>
      </c>
      <c r="AH69" s="33">
        <f t="shared" si="64"/>
        <v>0</v>
      </c>
      <c r="AI69" s="33">
        <f t="shared" si="64"/>
        <v>0</v>
      </c>
      <c r="AJ69" s="33">
        <f t="shared" si="64"/>
        <v>0</v>
      </c>
      <c r="AK69" s="33">
        <f t="shared" si="64"/>
        <v>0</v>
      </c>
      <c r="AL69" s="33">
        <f t="shared" si="64"/>
        <v>0</v>
      </c>
      <c r="AM69" s="33">
        <f t="shared" si="64"/>
        <v>0</v>
      </c>
      <c r="AN69" s="33">
        <f t="shared" si="64"/>
        <v>0</v>
      </c>
      <c r="AO69" s="33">
        <f t="shared" si="64"/>
        <v>0</v>
      </c>
      <c r="AP69" s="33">
        <f t="shared" si="64"/>
        <v>0</v>
      </c>
      <c r="AQ69" s="33">
        <f t="shared" si="64"/>
        <v>0</v>
      </c>
      <c r="AR69" s="33">
        <f t="shared" si="64"/>
        <v>0</v>
      </c>
      <c r="AS69" s="33">
        <f t="shared" si="64"/>
        <v>0</v>
      </c>
    </row>
    <row r="70" spans="1:45" x14ac:dyDescent="0.2">
      <c r="A70" s="37" t="s">
        <v>81</v>
      </c>
      <c r="B70" s="313"/>
      <c r="C70" s="87">
        <f t="shared" si="52"/>
        <v>0</v>
      </c>
      <c r="D70" s="26"/>
      <c r="E70" s="26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 spans="1:45" s="320" customFormat="1" ht="15.75" x14ac:dyDescent="0.25">
      <c r="A71" s="316" t="s">
        <v>93</v>
      </c>
      <c r="B71" s="317">
        <f>'Бюджет '!F47</f>
        <v>5128070146.8999996</v>
      </c>
      <c r="C71" s="346">
        <f>SUM(F71:AS71)</f>
        <v>5128070146.8999996</v>
      </c>
      <c r="D71" s="318"/>
      <c r="E71" s="318"/>
      <c r="F71" s="346">
        <f>F72*$B$71</f>
        <v>0</v>
      </c>
      <c r="G71" s="346">
        <f t="shared" ref="G71:AS71" si="65">G72*$B$71</f>
        <v>0</v>
      </c>
      <c r="H71" s="346">
        <f t="shared" si="65"/>
        <v>0</v>
      </c>
      <c r="I71" s="346">
        <f t="shared" si="65"/>
        <v>0</v>
      </c>
      <c r="J71" s="346">
        <f t="shared" si="65"/>
        <v>0</v>
      </c>
      <c r="K71" s="346">
        <f t="shared" si="65"/>
        <v>0</v>
      </c>
      <c r="L71" s="346">
        <f t="shared" si="65"/>
        <v>0</v>
      </c>
      <c r="M71" s="346">
        <f t="shared" si="65"/>
        <v>0</v>
      </c>
      <c r="N71" s="346">
        <f t="shared" si="65"/>
        <v>0</v>
      </c>
      <c r="O71" s="346">
        <f t="shared" si="65"/>
        <v>0</v>
      </c>
      <c r="P71" s="346">
        <f t="shared" si="65"/>
        <v>0</v>
      </c>
      <c r="Q71" s="346">
        <f t="shared" si="65"/>
        <v>0</v>
      </c>
      <c r="R71" s="346">
        <f t="shared" si="65"/>
        <v>0</v>
      </c>
      <c r="S71" s="346">
        <f t="shared" si="65"/>
        <v>0</v>
      </c>
      <c r="T71" s="346">
        <f t="shared" si="65"/>
        <v>0</v>
      </c>
      <c r="U71" s="346">
        <f t="shared" si="65"/>
        <v>0</v>
      </c>
      <c r="V71" s="346">
        <f t="shared" si="65"/>
        <v>0</v>
      </c>
      <c r="W71" s="346">
        <f t="shared" si="65"/>
        <v>1282017536.7249999</v>
      </c>
      <c r="X71" s="346">
        <f t="shared" si="65"/>
        <v>1282017536.7249999</v>
      </c>
      <c r="Y71" s="346">
        <f t="shared" si="65"/>
        <v>1282017536.7249999</v>
      </c>
      <c r="Z71" s="346">
        <f t="shared" si="65"/>
        <v>1282017536.7249999</v>
      </c>
      <c r="AA71" s="346">
        <f t="shared" si="65"/>
        <v>0</v>
      </c>
      <c r="AB71" s="346">
        <f t="shared" si="65"/>
        <v>0</v>
      </c>
      <c r="AC71" s="346">
        <f t="shared" si="65"/>
        <v>0</v>
      </c>
      <c r="AD71" s="346">
        <f t="shared" si="65"/>
        <v>0</v>
      </c>
      <c r="AE71" s="346">
        <f t="shared" si="65"/>
        <v>0</v>
      </c>
      <c r="AF71" s="346">
        <f t="shared" si="65"/>
        <v>0</v>
      </c>
      <c r="AG71" s="346">
        <f t="shared" si="65"/>
        <v>0</v>
      </c>
      <c r="AH71" s="346">
        <f t="shared" si="65"/>
        <v>0</v>
      </c>
      <c r="AI71" s="346">
        <f t="shared" si="65"/>
        <v>0</v>
      </c>
      <c r="AJ71" s="346">
        <f t="shared" si="65"/>
        <v>0</v>
      </c>
      <c r="AK71" s="346">
        <f t="shared" si="65"/>
        <v>0</v>
      </c>
      <c r="AL71" s="346">
        <f t="shared" si="65"/>
        <v>0</v>
      </c>
      <c r="AM71" s="346">
        <f t="shared" si="65"/>
        <v>0</v>
      </c>
      <c r="AN71" s="346">
        <f t="shared" si="65"/>
        <v>0</v>
      </c>
      <c r="AO71" s="346">
        <f t="shared" si="65"/>
        <v>0</v>
      </c>
      <c r="AP71" s="346">
        <f t="shared" si="65"/>
        <v>0</v>
      </c>
      <c r="AQ71" s="346">
        <f t="shared" si="65"/>
        <v>0</v>
      </c>
      <c r="AR71" s="346">
        <f t="shared" si="65"/>
        <v>0</v>
      </c>
      <c r="AS71" s="346">
        <f t="shared" si="65"/>
        <v>0</v>
      </c>
    </row>
    <row r="72" spans="1:45" x14ac:dyDescent="0.2">
      <c r="A72" s="37" t="s">
        <v>81</v>
      </c>
      <c r="B72" s="37"/>
      <c r="C72" s="87">
        <f t="shared" si="52"/>
        <v>1</v>
      </c>
      <c r="D72" s="26"/>
      <c r="E72" s="26"/>
      <c r="F72" s="29"/>
      <c r="G72" s="29"/>
      <c r="H72" s="29"/>
      <c r="I72" s="29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>
        <v>0</v>
      </c>
      <c r="W72" s="56">
        <v>0.25</v>
      </c>
      <c r="X72" s="56">
        <v>0.25</v>
      </c>
      <c r="Y72" s="56">
        <v>0.25</v>
      </c>
      <c r="Z72" s="56">
        <v>0.25</v>
      </c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29"/>
      <c r="AR72" s="29"/>
      <c r="AS72" s="29"/>
    </row>
    <row r="73" spans="1:45" ht="15.75" x14ac:dyDescent="0.25">
      <c r="A73" s="4" t="s">
        <v>80</v>
      </c>
      <c r="B73" s="304">
        <f>'Бюджет '!F48</f>
        <v>1850054797</v>
      </c>
      <c r="C73" s="52">
        <f>SUM(F73:AS73)</f>
        <v>1850054796.9999995</v>
      </c>
      <c r="D73" s="32"/>
      <c r="E73" s="32"/>
      <c r="F73" s="52">
        <f>F74*$B$73</f>
        <v>9250273.9849999994</v>
      </c>
      <c r="G73" s="52">
        <f t="shared" ref="G73:AS73" si="66">G74*$B$73</f>
        <v>9250273.9849999994</v>
      </c>
      <c r="H73" s="52">
        <f t="shared" si="66"/>
        <v>55501643.909999996</v>
      </c>
      <c r="I73" s="52">
        <f t="shared" si="66"/>
        <v>55501643.909999996</v>
      </c>
      <c r="J73" s="52">
        <f t="shared" si="66"/>
        <v>55501643.909999996</v>
      </c>
      <c r="K73" s="52">
        <f t="shared" si="66"/>
        <v>55501643.909999996</v>
      </c>
      <c r="L73" s="52">
        <f t="shared" si="66"/>
        <v>74002191.879999995</v>
      </c>
      <c r="M73" s="52">
        <f t="shared" si="66"/>
        <v>74002191.879999995</v>
      </c>
      <c r="N73" s="52">
        <f t="shared" si="66"/>
        <v>74002191.879999995</v>
      </c>
      <c r="O73" s="52">
        <f t="shared" si="66"/>
        <v>74002191.879999995</v>
      </c>
      <c r="P73" s="52">
        <f t="shared" si="66"/>
        <v>92502739.850000009</v>
      </c>
      <c r="Q73" s="52">
        <f t="shared" si="66"/>
        <v>129503835.79000001</v>
      </c>
      <c r="R73" s="52">
        <f t="shared" si="66"/>
        <v>129503835.79000001</v>
      </c>
      <c r="S73" s="52">
        <f t="shared" si="66"/>
        <v>129503835.79000001</v>
      </c>
      <c r="T73" s="52">
        <f t="shared" si="66"/>
        <v>129503835.79000001</v>
      </c>
      <c r="U73" s="52">
        <f t="shared" si="66"/>
        <v>129503835.79000001</v>
      </c>
      <c r="V73" s="52">
        <f t="shared" si="66"/>
        <v>129503835.79000001</v>
      </c>
      <c r="W73" s="52">
        <f t="shared" si="66"/>
        <v>129503835.79000001</v>
      </c>
      <c r="X73" s="52">
        <f t="shared" si="66"/>
        <v>129503835.79000001</v>
      </c>
      <c r="Y73" s="52">
        <f t="shared" si="66"/>
        <v>92502739.850000009</v>
      </c>
      <c r="Z73" s="52">
        <f t="shared" si="66"/>
        <v>92502739.850000009</v>
      </c>
      <c r="AA73" s="52">
        <f t="shared" si="66"/>
        <v>0</v>
      </c>
      <c r="AB73" s="52">
        <f t="shared" si="66"/>
        <v>0</v>
      </c>
      <c r="AC73" s="52">
        <f t="shared" si="66"/>
        <v>0</v>
      </c>
      <c r="AD73" s="52">
        <f t="shared" si="66"/>
        <v>0</v>
      </c>
      <c r="AE73" s="52">
        <f t="shared" si="66"/>
        <v>0</v>
      </c>
      <c r="AF73" s="52">
        <f t="shared" si="66"/>
        <v>0</v>
      </c>
      <c r="AG73" s="52">
        <f t="shared" si="66"/>
        <v>0</v>
      </c>
      <c r="AH73" s="52">
        <f t="shared" si="66"/>
        <v>0</v>
      </c>
      <c r="AI73" s="52">
        <f t="shared" si="66"/>
        <v>0</v>
      </c>
      <c r="AJ73" s="52">
        <f t="shared" si="66"/>
        <v>0</v>
      </c>
      <c r="AK73" s="52">
        <f t="shared" si="66"/>
        <v>0</v>
      </c>
      <c r="AL73" s="52">
        <f t="shared" si="66"/>
        <v>0</v>
      </c>
      <c r="AM73" s="52">
        <f t="shared" si="66"/>
        <v>0</v>
      </c>
      <c r="AN73" s="52">
        <f t="shared" si="66"/>
        <v>0</v>
      </c>
      <c r="AO73" s="52">
        <f t="shared" si="66"/>
        <v>0</v>
      </c>
      <c r="AP73" s="52">
        <f t="shared" si="66"/>
        <v>0</v>
      </c>
      <c r="AQ73" s="52">
        <f t="shared" si="66"/>
        <v>0</v>
      </c>
      <c r="AR73" s="52">
        <f t="shared" si="66"/>
        <v>0</v>
      </c>
      <c r="AS73" s="52">
        <f t="shared" si="66"/>
        <v>0</v>
      </c>
    </row>
    <row r="74" spans="1:45" x14ac:dyDescent="0.2">
      <c r="A74" s="37" t="s">
        <v>81</v>
      </c>
      <c r="B74" s="37"/>
      <c r="C74" s="87">
        <f t="shared" si="52"/>
        <v>1.0000000000000004</v>
      </c>
      <c r="D74" s="26"/>
      <c r="E74" s="26"/>
      <c r="F74" s="56">
        <f t="shared" ref="F74:AS74" si="67">F44</f>
        <v>5.0000000000000001E-3</v>
      </c>
      <c r="G74" s="56">
        <f t="shared" si="67"/>
        <v>5.0000000000000001E-3</v>
      </c>
      <c r="H74" s="56">
        <f t="shared" si="67"/>
        <v>0.03</v>
      </c>
      <c r="I74" s="56">
        <f t="shared" si="67"/>
        <v>0.03</v>
      </c>
      <c r="J74" s="56">
        <f t="shared" si="67"/>
        <v>0.03</v>
      </c>
      <c r="K74" s="56">
        <f t="shared" si="67"/>
        <v>0.03</v>
      </c>
      <c r="L74" s="56">
        <f t="shared" si="67"/>
        <v>0.04</v>
      </c>
      <c r="M74" s="56">
        <f t="shared" si="67"/>
        <v>0.04</v>
      </c>
      <c r="N74" s="56">
        <f t="shared" si="67"/>
        <v>0.04</v>
      </c>
      <c r="O74" s="56">
        <f t="shared" si="67"/>
        <v>0.04</v>
      </c>
      <c r="P74" s="56">
        <f t="shared" si="67"/>
        <v>0.05</v>
      </c>
      <c r="Q74" s="56">
        <f t="shared" si="67"/>
        <v>7.0000000000000007E-2</v>
      </c>
      <c r="R74" s="56">
        <f t="shared" si="67"/>
        <v>7.0000000000000007E-2</v>
      </c>
      <c r="S74" s="56">
        <f t="shared" si="67"/>
        <v>7.0000000000000007E-2</v>
      </c>
      <c r="T74" s="56">
        <f t="shared" si="67"/>
        <v>7.0000000000000007E-2</v>
      </c>
      <c r="U74" s="56">
        <f t="shared" si="67"/>
        <v>7.0000000000000007E-2</v>
      </c>
      <c r="V74" s="56">
        <f t="shared" si="67"/>
        <v>7.0000000000000007E-2</v>
      </c>
      <c r="W74" s="56">
        <f t="shared" si="67"/>
        <v>7.0000000000000007E-2</v>
      </c>
      <c r="X74" s="56">
        <f t="shared" si="67"/>
        <v>7.0000000000000007E-2</v>
      </c>
      <c r="Y74" s="56">
        <f t="shared" si="67"/>
        <v>0.05</v>
      </c>
      <c r="Z74" s="56">
        <f t="shared" si="67"/>
        <v>0.05</v>
      </c>
      <c r="AA74" s="56">
        <f t="shared" si="67"/>
        <v>0</v>
      </c>
      <c r="AB74" s="56">
        <f t="shared" si="67"/>
        <v>0</v>
      </c>
      <c r="AC74" s="56">
        <f t="shared" si="67"/>
        <v>0</v>
      </c>
      <c r="AD74" s="56">
        <f t="shared" si="67"/>
        <v>0</v>
      </c>
      <c r="AE74" s="56">
        <f t="shared" si="67"/>
        <v>0</v>
      </c>
      <c r="AF74" s="56">
        <f t="shared" si="67"/>
        <v>0</v>
      </c>
      <c r="AG74" s="56">
        <f t="shared" si="67"/>
        <v>0</v>
      </c>
      <c r="AH74" s="56">
        <f t="shared" si="67"/>
        <v>0</v>
      </c>
      <c r="AI74" s="56">
        <f t="shared" si="67"/>
        <v>0</v>
      </c>
      <c r="AJ74" s="56">
        <f t="shared" si="67"/>
        <v>0</v>
      </c>
      <c r="AK74" s="56">
        <f t="shared" si="67"/>
        <v>0</v>
      </c>
      <c r="AL74" s="56">
        <f t="shared" si="67"/>
        <v>0</v>
      </c>
      <c r="AM74" s="56">
        <f t="shared" si="67"/>
        <v>0</v>
      </c>
      <c r="AN74" s="56">
        <f t="shared" si="67"/>
        <v>0</v>
      </c>
      <c r="AO74" s="56">
        <f t="shared" si="67"/>
        <v>0</v>
      </c>
      <c r="AP74" s="56">
        <f t="shared" si="67"/>
        <v>0</v>
      </c>
      <c r="AQ74" s="56">
        <f t="shared" si="67"/>
        <v>0</v>
      </c>
      <c r="AR74" s="56">
        <f t="shared" si="67"/>
        <v>0</v>
      </c>
      <c r="AS74" s="56">
        <f t="shared" si="67"/>
        <v>0</v>
      </c>
    </row>
    <row r="75" spans="1:45" ht="15.75" x14ac:dyDescent="0.25">
      <c r="A75" s="4" t="s">
        <v>79</v>
      </c>
      <c r="B75" s="304">
        <f>'Бюджет '!F49</f>
        <v>14454850.84</v>
      </c>
      <c r="C75" s="52">
        <f>SUM(F75:AS75)</f>
        <v>14454850.840000002</v>
      </c>
      <c r="D75" s="32"/>
      <c r="E75" s="32"/>
      <c r="F75" s="52">
        <f>F76*$B$75</f>
        <v>72274.254199999996</v>
      </c>
      <c r="G75" s="52">
        <f t="shared" ref="G75:AS75" si="68">G76*$B$75</f>
        <v>72274.254199999996</v>
      </c>
      <c r="H75" s="52">
        <f t="shared" si="68"/>
        <v>433645.52519999997</v>
      </c>
      <c r="I75" s="52">
        <f t="shared" si="68"/>
        <v>433645.52519999997</v>
      </c>
      <c r="J75" s="52">
        <f t="shared" si="68"/>
        <v>433645.52519999997</v>
      </c>
      <c r="K75" s="52">
        <f t="shared" si="68"/>
        <v>433645.52519999997</v>
      </c>
      <c r="L75" s="52">
        <f t="shared" si="68"/>
        <v>578194.03359999997</v>
      </c>
      <c r="M75" s="52">
        <f t="shared" si="68"/>
        <v>578194.03359999997</v>
      </c>
      <c r="N75" s="52">
        <f t="shared" si="68"/>
        <v>578194.03359999997</v>
      </c>
      <c r="O75" s="52">
        <f t="shared" si="68"/>
        <v>578194.03359999997</v>
      </c>
      <c r="P75" s="52">
        <f t="shared" si="68"/>
        <v>722742.54200000002</v>
      </c>
      <c r="Q75" s="52">
        <f t="shared" si="68"/>
        <v>1011839.5588000001</v>
      </c>
      <c r="R75" s="52">
        <f t="shared" si="68"/>
        <v>1011839.5588000001</v>
      </c>
      <c r="S75" s="52">
        <f t="shared" si="68"/>
        <v>1011839.5588000001</v>
      </c>
      <c r="T75" s="52">
        <f t="shared" si="68"/>
        <v>1011839.5588000001</v>
      </c>
      <c r="U75" s="52">
        <f t="shared" si="68"/>
        <v>1011839.5588000001</v>
      </c>
      <c r="V75" s="52">
        <f t="shared" si="68"/>
        <v>1011839.5588000001</v>
      </c>
      <c r="W75" s="52">
        <f t="shared" si="68"/>
        <v>1011839.5588000001</v>
      </c>
      <c r="X75" s="52">
        <f t="shared" si="68"/>
        <v>1011839.5588000001</v>
      </c>
      <c r="Y75" s="52">
        <f t="shared" si="68"/>
        <v>722742.54200000002</v>
      </c>
      <c r="Z75" s="52">
        <f t="shared" si="68"/>
        <v>722742.54200000002</v>
      </c>
      <c r="AA75" s="52">
        <f t="shared" si="68"/>
        <v>0</v>
      </c>
      <c r="AB75" s="52">
        <f t="shared" si="68"/>
        <v>0</v>
      </c>
      <c r="AC75" s="52">
        <f t="shared" si="68"/>
        <v>0</v>
      </c>
      <c r="AD75" s="52">
        <f t="shared" si="68"/>
        <v>0</v>
      </c>
      <c r="AE75" s="52">
        <f t="shared" si="68"/>
        <v>0</v>
      </c>
      <c r="AF75" s="52">
        <f t="shared" si="68"/>
        <v>0</v>
      </c>
      <c r="AG75" s="52">
        <f t="shared" si="68"/>
        <v>0</v>
      </c>
      <c r="AH75" s="52">
        <f t="shared" si="68"/>
        <v>0</v>
      </c>
      <c r="AI75" s="52">
        <f t="shared" si="68"/>
        <v>0</v>
      </c>
      <c r="AJ75" s="52">
        <f t="shared" si="68"/>
        <v>0</v>
      </c>
      <c r="AK75" s="52">
        <f t="shared" si="68"/>
        <v>0</v>
      </c>
      <c r="AL75" s="52">
        <f t="shared" si="68"/>
        <v>0</v>
      </c>
      <c r="AM75" s="52">
        <f t="shared" si="68"/>
        <v>0</v>
      </c>
      <c r="AN75" s="52">
        <f t="shared" si="68"/>
        <v>0</v>
      </c>
      <c r="AO75" s="52">
        <f t="shared" si="68"/>
        <v>0</v>
      </c>
      <c r="AP75" s="52">
        <f t="shared" si="68"/>
        <v>0</v>
      </c>
      <c r="AQ75" s="52">
        <f t="shared" si="68"/>
        <v>0</v>
      </c>
      <c r="AR75" s="52">
        <f t="shared" si="68"/>
        <v>0</v>
      </c>
      <c r="AS75" s="52">
        <f t="shared" si="68"/>
        <v>0</v>
      </c>
    </row>
    <row r="76" spans="1:45" x14ac:dyDescent="0.2">
      <c r="A76" s="37" t="s">
        <v>81</v>
      </c>
      <c r="B76" s="37"/>
      <c r="C76" s="87">
        <f t="shared" si="52"/>
        <v>1.0000000000000004</v>
      </c>
      <c r="D76" s="26"/>
      <c r="E76" s="26"/>
      <c r="F76" s="29">
        <v>5.0000000000000001E-3</v>
      </c>
      <c r="G76" s="29">
        <v>5.0000000000000001E-3</v>
      </c>
      <c r="H76" s="29">
        <v>0.03</v>
      </c>
      <c r="I76" s="29">
        <v>0.03</v>
      </c>
      <c r="J76" s="29">
        <v>0.03</v>
      </c>
      <c r="K76" s="29">
        <v>0.03</v>
      </c>
      <c r="L76" s="29">
        <v>0.04</v>
      </c>
      <c r="M76" s="29">
        <v>0.04</v>
      </c>
      <c r="N76" s="29">
        <v>0.04</v>
      </c>
      <c r="O76" s="29">
        <v>0.04</v>
      </c>
      <c r="P76" s="29">
        <v>0.05</v>
      </c>
      <c r="Q76" s="29">
        <v>7.0000000000000007E-2</v>
      </c>
      <c r="R76" s="29">
        <v>7.0000000000000007E-2</v>
      </c>
      <c r="S76" s="29">
        <v>7.0000000000000007E-2</v>
      </c>
      <c r="T76" s="29">
        <v>7.0000000000000007E-2</v>
      </c>
      <c r="U76" s="29">
        <v>7.0000000000000007E-2</v>
      </c>
      <c r="V76" s="29">
        <v>7.0000000000000007E-2</v>
      </c>
      <c r="W76" s="29">
        <v>7.0000000000000007E-2</v>
      </c>
      <c r="X76" s="29">
        <v>7.0000000000000007E-2</v>
      </c>
      <c r="Y76" s="29">
        <v>0.05</v>
      </c>
      <c r="Z76" s="29">
        <v>0.05</v>
      </c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spans="1:45" ht="15.75" x14ac:dyDescent="0.25">
      <c r="A77" s="50" t="s">
        <v>102</v>
      </c>
      <c r="B77" s="77">
        <f>SUM(E77:AR77)</f>
        <v>6867736629.0694799</v>
      </c>
      <c r="C77" s="77">
        <f>SUM(F77:AS77)</f>
        <v>6867736629.0694799</v>
      </c>
      <c r="D77" s="51"/>
      <c r="E77" s="51"/>
      <c r="F77" s="53">
        <f t="shared" ref="F77:L77" si="69">SUM(F78:F79)</f>
        <v>0</v>
      </c>
      <c r="G77" s="53">
        <f t="shared" si="69"/>
        <v>0</v>
      </c>
      <c r="H77" s="53">
        <f t="shared" si="69"/>
        <v>0</v>
      </c>
      <c r="I77" s="53">
        <f t="shared" si="69"/>
        <v>0</v>
      </c>
      <c r="J77" s="53">
        <f t="shared" si="69"/>
        <v>0</v>
      </c>
      <c r="K77" s="53">
        <f t="shared" si="69"/>
        <v>0</v>
      </c>
      <c r="L77" s="53">
        <f t="shared" si="69"/>
        <v>0</v>
      </c>
      <c r="M77" s="53">
        <f>SUM(M78:M79)</f>
        <v>292907731.58136004</v>
      </c>
      <c r="N77" s="53">
        <f t="shared" ref="N77:AS77" si="70">SUM(N78:N79)</f>
        <v>92920725.857962802</v>
      </c>
      <c r="O77" s="53">
        <f t="shared" si="70"/>
        <v>63756447.711764477</v>
      </c>
      <c r="P77" s="53">
        <f t="shared" si="70"/>
        <v>80204149.608900994</v>
      </c>
      <c r="Q77" s="53">
        <f t="shared" si="70"/>
        <v>67656168.842758507</v>
      </c>
      <c r="R77" s="53">
        <f t="shared" si="70"/>
        <v>175456786.87925217</v>
      </c>
      <c r="S77" s="53">
        <f t="shared" si="70"/>
        <v>208793563.30810708</v>
      </c>
      <c r="T77" s="53">
        <f t="shared" si="70"/>
        <v>253546984.85937876</v>
      </c>
      <c r="U77" s="53">
        <f t="shared" si="70"/>
        <v>271994564.10323197</v>
      </c>
      <c r="V77" s="53">
        <f t="shared" si="70"/>
        <v>237683503.92176327</v>
      </c>
      <c r="W77" s="53">
        <f t="shared" si="70"/>
        <v>281751508.04524773</v>
      </c>
      <c r="X77" s="53">
        <f t="shared" si="70"/>
        <v>319353166.30447298</v>
      </c>
      <c r="Y77" s="53">
        <f t="shared" si="70"/>
        <v>342430720.87669379</v>
      </c>
      <c r="Z77" s="53">
        <f t="shared" si="70"/>
        <v>372775101.6887905</v>
      </c>
      <c r="AA77" s="53">
        <f t="shared" si="70"/>
        <v>365041192.73906851</v>
      </c>
      <c r="AB77" s="53">
        <f t="shared" si="70"/>
        <v>383015521.53689528</v>
      </c>
      <c r="AC77" s="53">
        <f t="shared" si="70"/>
        <v>379240746.56879973</v>
      </c>
      <c r="AD77" s="53">
        <f t="shared" si="70"/>
        <v>384804307.59232903</v>
      </c>
      <c r="AE77" s="53">
        <f t="shared" si="70"/>
        <v>399468903.14914048</v>
      </c>
      <c r="AF77" s="53">
        <f t="shared" si="70"/>
        <v>353010358.61907411</v>
      </c>
      <c r="AG77" s="53">
        <f t="shared" si="70"/>
        <v>290848592.05384529</v>
      </c>
      <c r="AH77" s="53">
        <f t="shared" si="70"/>
        <v>209468622.170324</v>
      </c>
      <c r="AI77" s="53">
        <f t="shared" si="70"/>
        <v>192853854.52711937</v>
      </c>
      <c r="AJ77" s="53">
        <f t="shared" si="70"/>
        <v>177737164.69082338</v>
      </c>
      <c r="AK77" s="53">
        <f t="shared" si="70"/>
        <v>183902351.6913659</v>
      </c>
      <c r="AL77" s="53">
        <f t="shared" si="70"/>
        <v>186550241.59527707</v>
      </c>
      <c r="AM77" s="53">
        <f t="shared" si="70"/>
        <v>133730544.2843021</v>
      </c>
      <c r="AN77" s="53">
        <f t="shared" si="70"/>
        <v>107557181.72566719</v>
      </c>
      <c r="AO77" s="53">
        <f t="shared" si="70"/>
        <v>37709051.532912798</v>
      </c>
      <c r="AP77" s="53">
        <f t="shared" si="70"/>
        <v>6600814.7138354592</v>
      </c>
      <c r="AQ77" s="53">
        <f t="shared" si="70"/>
        <v>6732831.0081121679</v>
      </c>
      <c r="AR77" s="53">
        <f t="shared" si="70"/>
        <v>8233225.2809029892</v>
      </c>
      <c r="AS77" s="53">
        <f t="shared" si="70"/>
        <v>0</v>
      </c>
    </row>
    <row r="78" spans="1:45" x14ac:dyDescent="0.2">
      <c r="A78" s="4" t="s">
        <v>97</v>
      </c>
      <c r="B78" s="304">
        <f>'Бюджет '!F52</f>
        <v>4134560080.857636</v>
      </c>
      <c r="C78" s="52">
        <f>SUM(G78:AS78)</f>
        <v>2733176548.211844</v>
      </c>
      <c r="D78" s="1"/>
      <c r="E78" s="1"/>
      <c r="G78" s="3"/>
      <c r="H78" s="3"/>
      <c r="I78" s="3"/>
      <c r="J78" s="3"/>
      <c r="K78" s="3"/>
      <c r="L78" s="3"/>
      <c r="M78" s="3">
        <f>'План продаж'!E25*'Бюджет '!$D$52</f>
        <v>146453865.79068002</v>
      </c>
      <c r="N78" s="3">
        <f>'План продаж'!F25*'Бюджет '!$D$52</f>
        <v>46460362.928981401</v>
      </c>
      <c r="O78" s="3">
        <f>'План продаж'!G25*'Бюджет '!$D$52</f>
        <v>31878223.855882239</v>
      </c>
      <c r="P78" s="3">
        <f>'План продаж'!H25*'Бюджет '!$D$52</f>
        <v>40102074.804450497</v>
      </c>
      <c r="Q78" s="3">
        <f>'План продаж'!I25*'Бюджет '!$D$52</f>
        <v>33828084.421379253</v>
      </c>
      <c r="R78" s="3">
        <f>'План продаж'!J25*'Бюджет '!$D$52</f>
        <v>87728393.439626083</v>
      </c>
      <c r="S78" s="3">
        <f>'План продаж'!K25*'Бюджет '!$D$52</f>
        <v>104396781.65405354</v>
      </c>
      <c r="T78" s="3">
        <f>'План продаж'!L25*'Бюджет '!$D$52</f>
        <v>126773492.42968938</v>
      </c>
      <c r="U78" s="3">
        <f>'План продаж'!M25*'Бюджет '!$D$52</f>
        <v>135997282.05161598</v>
      </c>
      <c r="V78" s="3">
        <f>'План продаж'!N25*'Бюджет '!$D$52</f>
        <v>118841751.96088164</v>
      </c>
      <c r="W78" s="3">
        <f>'План продаж'!O25*'Бюджет '!$D$52</f>
        <v>140875754.02262387</v>
      </c>
      <c r="X78" s="3">
        <f>'План продаж'!P25*'Бюджет '!$D$52</f>
        <v>159676583.15223649</v>
      </c>
      <c r="Y78" s="3">
        <f>'План продаж'!Q25*'Бюджет '!$D$52</f>
        <v>171215360.43834689</v>
      </c>
      <c r="Z78" s="3">
        <f>'План продаж'!R25*'Бюджет '!$D$52</f>
        <v>186387550.84439525</v>
      </c>
      <c r="AA78" s="3">
        <f>'План продаж'!S25*'Бюджет '!$D$52</f>
        <v>182520596.36953425</v>
      </c>
      <c r="AB78" s="3">
        <f>'План продаж'!AA25*'Бюджет '!$D$52</f>
        <v>186253039.81328392</v>
      </c>
      <c r="AC78" s="3">
        <f>'План продаж'!AB25*'Бюджет '!$D$52</f>
        <v>171004333.68271121</v>
      </c>
      <c r="AD78" s="3">
        <f>'План продаж'!AC25*'Бюджет '!$D$52</f>
        <v>175669126.41046292</v>
      </c>
      <c r="AE78" s="3">
        <f>'План продаж'!AD25*'Бюджет '!$D$52</f>
        <v>186550241.59527707</v>
      </c>
      <c r="AF78" s="3">
        <f>'План продаж'!AE25*'Бюджет '!$D$52</f>
        <v>133730544.2843021</v>
      </c>
      <c r="AG78" s="3">
        <f>'План продаж'!AF25*'Бюджет '!$D$52</f>
        <v>107557181.72566719</v>
      </c>
      <c r="AH78" s="3">
        <f>'План продаж'!AG25*'Бюджет '!$D$52</f>
        <v>37709051.532912798</v>
      </c>
      <c r="AI78" s="3">
        <f>'План продаж'!AH25*'Бюджет '!$D$52</f>
        <v>6600814.7138354592</v>
      </c>
      <c r="AJ78" s="3">
        <f>'План продаж'!AI25*'Бюджет '!$D$52</f>
        <v>6732831.0081121679</v>
      </c>
      <c r="AK78" s="3">
        <f>'План продаж'!AJ25*'Бюджет '!$D$52</f>
        <v>8233225.2809029892</v>
      </c>
      <c r="AL78" s="3">
        <f>'План продаж'!AK25*'Бюджет '!$D$52</f>
        <v>0</v>
      </c>
      <c r="AM78" s="3">
        <f>'План продаж'!AL25*'Бюджет '!$D$52</f>
        <v>0</v>
      </c>
      <c r="AN78" s="3">
        <f>'План продаж'!AM25*'Бюджет '!$D$52</f>
        <v>0</v>
      </c>
      <c r="AO78" s="3">
        <f>'План продаж'!AN25*'Бюджет '!$D$52</f>
        <v>0</v>
      </c>
      <c r="AP78" s="3">
        <f>'План продаж'!AO25*'Бюджет '!$D$52</f>
        <v>0</v>
      </c>
      <c r="AQ78" s="3">
        <f>'План продаж'!AP25*'Бюджет '!$D$52</f>
        <v>0</v>
      </c>
      <c r="AR78" s="3">
        <f>'План продаж'!AQ25*'Бюджет '!$D$52</f>
        <v>0</v>
      </c>
      <c r="AS78" s="3">
        <f>'План продаж'!AR25*'Бюджет '!$D$52</f>
        <v>0</v>
      </c>
    </row>
    <row r="79" spans="1:45" x14ac:dyDescent="0.2">
      <c r="A79" s="4" t="s">
        <v>98</v>
      </c>
      <c r="B79" s="304">
        <f>'Бюджет '!F51</f>
        <v>4194809207.75</v>
      </c>
      <c r="C79" s="52">
        <f>SUM(G79:AS79)</f>
        <v>4134560080.8576341</v>
      </c>
      <c r="D79" s="1"/>
      <c r="E79" s="1"/>
      <c r="G79" s="3"/>
      <c r="H79" s="3"/>
      <c r="I79" s="3"/>
      <c r="J79" s="3"/>
      <c r="K79" s="3"/>
      <c r="L79" s="3"/>
      <c r="M79" s="3">
        <f>'Бюджет '!$D$51*'План продаж'!E25</f>
        <v>146453865.79068002</v>
      </c>
      <c r="N79" s="3">
        <f>'Бюджет '!$D$51*'План продаж'!F25</f>
        <v>46460362.928981401</v>
      </c>
      <c r="O79" s="3">
        <f>'Бюджет '!$D$51*'План продаж'!G25</f>
        <v>31878223.855882239</v>
      </c>
      <c r="P79" s="3">
        <f>'Бюджет '!$D$51*'План продаж'!H25</f>
        <v>40102074.804450497</v>
      </c>
      <c r="Q79" s="3">
        <f>'Бюджет '!$D$51*'План продаж'!I25</f>
        <v>33828084.421379253</v>
      </c>
      <c r="R79" s="3">
        <f>'Бюджет '!$D$51*'План продаж'!J25</f>
        <v>87728393.439626083</v>
      </c>
      <c r="S79" s="3">
        <f>'Бюджет '!$D$51*'План продаж'!K25</f>
        <v>104396781.65405354</v>
      </c>
      <c r="T79" s="3">
        <f>'Бюджет '!$D$51*'План продаж'!L25</f>
        <v>126773492.42968938</v>
      </c>
      <c r="U79" s="3">
        <f>'Бюджет '!$D$51*'План продаж'!M25</f>
        <v>135997282.05161598</v>
      </c>
      <c r="V79" s="3">
        <f>'Бюджет '!$D$51*'План продаж'!N25</f>
        <v>118841751.96088164</v>
      </c>
      <c r="W79" s="3">
        <f>'Бюджет '!$D$51*'План продаж'!O25</f>
        <v>140875754.02262387</v>
      </c>
      <c r="X79" s="3">
        <f>'Бюджет '!$D$51*'План продаж'!P25</f>
        <v>159676583.15223649</v>
      </c>
      <c r="Y79" s="3">
        <f>'Бюджет '!$D$51*'План продаж'!Q25</f>
        <v>171215360.43834689</v>
      </c>
      <c r="Z79" s="3">
        <f>'Бюджет '!$D$51*'План продаж'!R25</f>
        <v>186387550.84439525</v>
      </c>
      <c r="AA79" s="3">
        <f>'Бюджет '!$D$51*'План продаж'!S25</f>
        <v>182520596.36953425</v>
      </c>
      <c r="AB79" s="3">
        <f>'Бюджет '!$D$51*'План продаж'!T25</f>
        <v>196762481.72361138</v>
      </c>
      <c r="AC79" s="3">
        <f>'Бюджет '!$D$51*'План продаж'!U25</f>
        <v>208236412.88608852</v>
      </c>
      <c r="AD79" s="3">
        <f>'Бюджет '!$D$51*'План продаж'!V25</f>
        <v>209135181.18186608</v>
      </c>
      <c r="AE79" s="3">
        <f>'Бюджет '!$D$51*'План продаж'!W25</f>
        <v>212918661.55386341</v>
      </c>
      <c r="AF79" s="3">
        <f>'Бюджет '!$D$51*'План продаж'!X25</f>
        <v>219279814.33477199</v>
      </c>
      <c r="AG79" s="3">
        <f>'Бюджет '!$D$51*'План продаж'!Y25</f>
        <v>183291410.32817808</v>
      </c>
      <c r="AH79" s="3">
        <f>'Бюджет '!$D$51*'План продаж'!Z25</f>
        <v>171759570.63741121</v>
      </c>
      <c r="AI79" s="3">
        <f>'Бюджет '!$D$51*'План продаж'!AA25</f>
        <v>186253039.81328392</v>
      </c>
      <c r="AJ79" s="3">
        <f>'Бюджет '!$D$51*'План продаж'!AB25</f>
        <v>171004333.68271121</v>
      </c>
      <c r="AK79" s="3">
        <f>'Бюджет '!$D$51*'План продаж'!AC25</f>
        <v>175669126.41046292</v>
      </c>
      <c r="AL79" s="3">
        <f>'Бюджет '!$D$51*'План продаж'!AD25</f>
        <v>186550241.59527707</v>
      </c>
      <c r="AM79" s="3">
        <f>'Бюджет '!$D$51*'План продаж'!AE25</f>
        <v>133730544.2843021</v>
      </c>
      <c r="AN79" s="3">
        <f>'Бюджет '!$D$51*'План продаж'!AF25</f>
        <v>107557181.72566719</v>
      </c>
      <c r="AO79" s="3">
        <f>'Бюджет '!$D$51*'План продаж'!AG25</f>
        <v>37709051.532912798</v>
      </c>
      <c r="AP79" s="3">
        <f>'Бюджет '!$D$51*'План продаж'!AH25</f>
        <v>6600814.7138354592</v>
      </c>
      <c r="AQ79" s="3">
        <f>'Бюджет '!$D$51*'План продаж'!AI25</f>
        <v>6732831.0081121679</v>
      </c>
      <c r="AR79" s="3">
        <f>'Бюджет '!$D$51*'План продаж'!AJ25</f>
        <v>8233225.2809029892</v>
      </c>
      <c r="AS79" s="3">
        <f>'Бюджет '!$D$51*'План продаж'!AK25</f>
        <v>0</v>
      </c>
    </row>
    <row r="80" spans="1:45" x14ac:dyDescent="0.2">
      <c r="D80" s="1"/>
      <c r="E80" s="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288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59" s="2" customFormat="1" ht="15.75" x14ac:dyDescent="0.25">
      <c r="A81" s="2" t="s">
        <v>59</v>
      </c>
      <c r="B81" s="85">
        <f>B84+B85+B86</f>
        <v>6745096232.7167206</v>
      </c>
      <c r="C81" s="85">
        <f>C84+C85+C86</f>
        <v>6745096232.7167206</v>
      </c>
      <c r="F81" s="85">
        <f t="shared" ref="F81:AS81" si="71">F84+F85+F86</f>
        <v>402407.42482758622</v>
      </c>
      <c r="G81" s="85">
        <f t="shared" si="71"/>
        <v>402407.42482758622</v>
      </c>
      <c r="H81" s="85">
        <f t="shared" si="71"/>
        <v>402407.42482758622</v>
      </c>
      <c r="I81" s="85">
        <f t="shared" si="71"/>
        <v>402407.42482758622</v>
      </c>
      <c r="J81" s="85">
        <f t="shared" si="71"/>
        <v>402407.42482758622</v>
      </c>
      <c r="K81" s="85">
        <f t="shared" si="71"/>
        <v>402407.42482758622</v>
      </c>
      <c r="L81" s="85">
        <f t="shared" si="71"/>
        <v>402407.42482758622</v>
      </c>
      <c r="M81" s="85">
        <f t="shared" si="71"/>
        <v>5402407.4248275859</v>
      </c>
      <c r="N81" s="85">
        <f t="shared" si="71"/>
        <v>5402407.4248275859</v>
      </c>
      <c r="O81" s="85">
        <f t="shared" si="71"/>
        <v>5402407.4248275859</v>
      </c>
      <c r="P81" s="85">
        <f t="shared" si="71"/>
        <v>5402407.4248275859</v>
      </c>
      <c r="Q81" s="85">
        <f t="shared" si="71"/>
        <v>5402407.4248275859</v>
      </c>
      <c r="R81" s="85">
        <f t="shared" si="71"/>
        <v>5402407.4248275859</v>
      </c>
      <c r="S81" s="85">
        <f t="shared" si="71"/>
        <v>5402407.4248275859</v>
      </c>
      <c r="T81" s="85">
        <f t="shared" si="71"/>
        <v>5402407.4248275859</v>
      </c>
      <c r="U81" s="85">
        <f t="shared" si="71"/>
        <v>5402407.4248275859</v>
      </c>
      <c r="V81" s="85">
        <f t="shared" si="71"/>
        <v>5402407.4248275859</v>
      </c>
      <c r="W81" s="85">
        <f t="shared" si="71"/>
        <v>5402407.4248275859</v>
      </c>
      <c r="X81" s="85">
        <f t="shared" si="71"/>
        <v>5402407.4248275859</v>
      </c>
      <c r="Y81" s="85">
        <f t="shared" si="71"/>
        <v>5402407.4248275859</v>
      </c>
      <c r="Z81" s="85">
        <f t="shared" si="71"/>
        <v>5402407.4248275859</v>
      </c>
      <c r="AA81" s="85">
        <f>AA84+AB85+AB86</f>
        <v>6658828824.8215485</v>
      </c>
      <c r="AB81" s="85">
        <f>AB84+AC85+AC86</f>
        <v>402407.42482758622</v>
      </c>
      <c r="AC81" s="85">
        <f t="shared" si="71"/>
        <v>402407.42482758622</v>
      </c>
      <c r="AD81" s="85">
        <f t="shared" si="71"/>
        <v>402407.42482758622</v>
      </c>
      <c r="AE81" s="85">
        <f t="shared" si="71"/>
        <v>402407.42482758622</v>
      </c>
      <c r="AF81" s="85">
        <f t="shared" si="71"/>
        <v>402407.42482758622</v>
      </c>
      <c r="AG81" s="85">
        <f t="shared" si="71"/>
        <v>402407.42482758622</v>
      </c>
      <c r="AH81" s="85">
        <f t="shared" si="71"/>
        <v>402407.42482758622</v>
      </c>
      <c r="AI81" s="85">
        <f t="shared" si="71"/>
        <v>0</v>
      </c>
      <c r="AJ81" s="85">
        <f t="shared" si="71"/>
        <v>0</v>
      </c>
      <c r="AK81" s="85">
        <f t="shared" si="71"/>
        <v>0</v>
      </c>
      <c r="AL81" s="85">
        <f t="shared" si="71"/>
        <v>0</v>
      </c>
      <c r="AM81" s="85">
        <f t="shared" si="71"/>
        <v>0</v>
      </c>
      <c r="AN81" s="85">
        <f t="shared" si="71"/>
        <v>0</v>
      </c>
      <c r="AO81" s="85">
        <f t="shared" si="71"/>
        <v>0</v>
      </c>
      <c r="AP81" s="85">
        <f t="shared" si="71"/>
        <v>0</v>
      </c>
      <c r="AQ81" s="85">
        <f t="shared" si="71"/>
        <v>0</v>
      </c>
      <c r="AR81" s="85">
        <f t="shared" si="71"/>
        <v>0</v>
      </c>
      <c r="AS81" s="85">
        <f t="shared" si="71"/>
        <v>0</v>
      </c>
    </row>
    <row r="82" spans="1:59" x14ac:dyDescent="0.2">
      <c r="A82" s="4"/>
      <c r="B82" s="4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</row>
    <row r="83" spans="1:59" x14ac:dyDescent="0.2">
      <c r="A83" s="4"/>
      <c r="B83" s="4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</row>
    <row r="84" spans="1:59" ht="15.75" x14ac:dyDescent="0.25">
      <c r="A84" s="66" t="s">
        <v>99</v>
      </c>
      <c r="B84" s="76">
        <f>D84*ТЭПы!C13</f>
        <v>11669815.32</v>
      </c>
      <c r="C84" s="425">
        <f>SUM(E84:AS84)</f>
        <v>11669815.320000004</v>
      </c>
      <c r="D84" s="280">
        <v>2E-3</v>
      </c>
      <c r="E84" s="38"/>
      <c r="F84" s="33">
        <f>$B$84/7.25/4</f>
        <v>402407.42482758622</v>
      </c>
      <c r="G84" s="33">
        <f t="shared" ref="G84:AH84" si="72">$B$84/7.25/4</f>
        <v>402407.42482758622</v>
      </c>
      <c r="H84" s="33">
        <f t="shared" si="72"/>
        <v>402407.42482758622</v>
      </c>
      <c r="I84" s="33">
        <f t="shared" si="72"/>
        <v>402407.42482758622</v>
      </c>
      <c r="J84" s="33">
        <f t="shared" si="72"/>
        <v>402407.42482758622</v>
      </c>
      <c r="K84" s="33">
        <f t="shared" si="72"/>
        <v>402407.42482758622</v>
      </c>
      <c r="L84" s="33">
        <f t="shared" si="72"/>
        <v>402407.42482758622</v>
      </c>
      <c r="M84" s="33">
        <f t="shared" si="72"/>
        <v>402407.42482758622</v>
      </c>
      <c r="N84" s="33">
        <f t="shared" si="72"/>
        <v>402407.42482758622</v>
      </c>
      <c r="O84" s="33">
        <f t="shared" si="72"/>
        <v>402407.42482758622</v>
      </c>
      <c r="P84" s="33">
        <f t="shared" si="72"/>
        <v>402407.42482758622</v>
      </c>
      <c r="Q84" s="33">
        <f t="shared" si="72"/>
        <v>402407.42482758622</v>
      </c>
      <c r="R84" s="33">
        <f t="shared" si="72"/>
        <v>402407.42482758622</v>
      </c>
      <c r="S84" s="33">
        <f t="shared" si="72"/>
        <v>402407.42482758622</v>
      </c>
      <c r="T84" s="33">
        <f t="shared" si="72"/>
        <v>402407.42482758622</v>
      </c>
      <c r="U84" s="33">
        <f t="shared" si="72"/>
        <v>402407.42482758622</v>
      </c>
      <c r="V84" s="33">
        <f t="shared" si="72"/>
        <v>402407.42482758622</v>
      </c>
      <c r="W84" s="33">
        <f t="shared" si="72"/>
        <v>402407.42482758622</v>
      </c>
      <c r="X84" s="33">
        <f t="shared" si="72"/>
        <v>402407.42482758622</v>
      </c>
      <c r="Y84" s="33">
        <f t="shared" si="72"/>
        <v>402407.42482758622</v>
      </c>
      <c r="Z84" s="33">
        <f t="shared" si="72"/>
        <v>402407.42482758622</v>
      </c>
      <c r="AA84" s="33">
        <f t="shared" si="72"/>
        <v>402407.42482758622</v>
      </c>
      <c r="AB84" s="33">
        <f t="shared" si="72"/>
        <v>402407.42482758622</v>
      </c>
      <c r="AC84" s="33">
        <f t="shared" si="72"/>
        <v>402407.42482758622</v>
      </c>
      <c r="AD84" s="33">
        <f t="shared" si="72"/>
        <v>402407.42482758622</v>
      </c>
      <c r="AE84" s="33">
        <f t="shared" si="72"/>
        <v>402407.42482758622</v>
      </c>
      <c r="AF84" s="33">
        <f t="shared" si="72"/>
        <v>402407.42482758622</v>
      </c>
      <c r="AG84" s="33">
        <f t="shared" si="72"/>
        <v>402407.42482758622</v>
      </c>
      <c r="AH84" s="33">
        <f t="shared" si="72"/>
        <v>402407.42482758622</v>
      </c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</row>
    <row r="85" spans="1:59" s="66" customFormat="1" ht="15.75" x14ac:dyDescent="0.25">
      <c r="A85" s="66" t="s">
        <v>5</v>
      </c>
      <c r="B85" s="68">
        <f>'Бюджет '!F54</f>
        <v>0</v>
      </c>
      <c r="C85" s="76">
        <f>SUM(F85:AS85)</f>
        <v>0</v>
      </c>
      <c r="D85" s="281">
        <v>0.22</v>
      </c>
      <c r="E85" s="67"/>
      <c r="F85" s="76"/>
      <c r="G85" s="76"/>
      <c r="H85" s="76"/>
      <c r="I85" s="76"/>
      <c r="J85" s="76"/>
      <c r="K85" s="76"/>
      <c r="L85" s="76"/>
      <c r="M85" s="76">
        <v>5000000</v>
      </c>
      <c r="N85" s="76">
        <v>5000000</v>
      </c>
      <c r="O85" s="76">
        <v>5000000</v>
      </c>
      <c r="P85" s="76">
        <v>5000000</v>
      </c>
      <c r="Q85" s="76">
        <v>5000000</v>
      </c>
      <c r="R85" s="76">
        <v>5000000</v>
      </c>
      <c r="S85" s="76">
        <v>5000000</v>
      </c>
      <c r="T85" s="76">
        <v>5000000</v>
      </c>
      <c r="U85" s="76">
        <v>5000000</v>
      </c>
      <c r="V85" s="76">
        <v>5000000</v>
      </c>
      <c r="W85" s="76">
        <v>5000000</v>
      </c>
      <c r="X85" s="76">
        <v>5000000</v>
      </c>
      <c r="Y85" s="76">
        <v>5000000</v>
      </c>
      <c r="Z85" s="76">
        <v>5000000</v>
      </c>
      <c r="AA85" s="76">
        <v>5000000</v>
      </c>
      <c r="AB85" s="289">
        <f>B85-SUM(F85:AA85)</f>
        <v>-75000000</v>
      </c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</row>
    <row r="86" spans="1:59" s="66" customFormat="1" ht="15.75" x14ac:dyDescent="0.25">
      <c r="A86" s="66" t="s">
        <v>4</v>
      </c>
      <c r="B86" s="68">
        <f>'Бюджет '!F55</f>
        <v>6733426417.3967209</v>
      </c>
      <c r="C86" s="76">
        <f t="shared" ref="C86" si="73">SUM(F86:AS86)</f>
        <v>6733426417.3967209</v>
      </c>
      <c r="D86" s="281">
        <v>0.25</v>
      </c>
      <c r="E86" s="82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B86" s="289">
        <f>B86</f>
        <v>6733426417.3967209</v>
      </c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</row>
    <row r="88" spans="1:59" s="2" customFormat="1" ht="15.75" x14ac:dyDescent="0.25">
      <c r="A88" s="2" t="s">
        <v>60</v>
      </c>
      <c r="C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</row>
    <row r="89" spans="1:59" x14ac:dyDescent="0.2">
      <c r="A89" s="39"/>
      <c r="B89" s="39"/>
    </row>
    <row r="90" spans="1:59" ht="15.75" x14ac:dyDescent="0.25">
      <c r="A90" s="31" t="s">
        <v>121</v>
      </c>
      <c r="B90" s="31"/>
      <c r="C90" s="76">
        <f>SUM(F90:AS90)</f>
        <v>88986276880.290482</v>
      </c>
      <c r="F90" s="3">
        <f>-F93+F95</f>
        <v>0</v>
      </c>
      <c r="G90" s="3">
        <f t="shared" ref="G90:AS90" si="74">-G93+G95</f>
        <v>0</v>
      </c>
      <c r="H90" s="3">
        <f t="shared" si="74"/>
        <v>0</v>
      </c>
      <c r="I90" s="3">
        <f t="shared" si="74"/>
        <v>0</v>
      </c>
      <c r="J90" s="3">
        <f t="shared" si="74"/>
        <v>0</v>
      </c>
      <c r="K90" s="3">
        <f t="shared" si="74"/>
        <v>0</v>
      </c>
      <c r="L90" s="3">
        <f t="shared" si="74"/>
        <v>0</v>
      </c>
      <c r="M90" s="3">
        <f t="shared" si="74"/>
        <v>0</v>
      </c>
      <c r="N90" s="3">
        <f t="shared" si="74"/>
        <v>0</v>
      </c>
      <c r="O90" s="3">
        <f t="shared" si="74"/>
        <v>0</v>
      </c>
      <c r="P90" s="3">
        <f t="shared" si="74"/>
        <v>0</v>
      </c>
      <c r="Q90" s="3">
        <f t="shared" si="74"/>
        <v>0</v>
      </c>
      <c r="R90" s="3">
        <f t="shared" si="74"/>
        <v>0</v>
      </c>
      <c r="S90" s="3">
        <f t="shared" si="74"/>
        <v>0</v>
      </c>
      <c r="T90" s="3">
        <f t="shared" si="74"/>
        <v>0</v>
      </c>
      <c r="U90" s="3">
        <f t="shared" si="74"/>
        <v>0</v>
      </c>
      <c r="V90" s="3">
        <f t="shared" si="74"/>
        <v>0</v>
      </c>
      <c r="W90" s="3">
        <f t="shared" si="74"/>
        <v>0</v>
      </c>
      <c r="X90" s="3">
        <f t="shared" si="74"/>
        <v>0</v>
      </c>
      <c r="Y90" s="3">
        <f t="shared" si="74"/>
        <v>0</v>
      </c>
      <c r="Z90" s="3">
        <f t="shared" si="74"/>
        <v>0</v>
      </c>
      <c r="AA90" s="288">
        <f t="shared" si="74"/>
        <v>0</v>
      </c>
      <c r="AB90" s="3">
        <f t="shared" si="74"/>
        <v>88986276880.290482</v>
      </c>
      <c r="AC90" s="3">
        <f t="shared" si="74"/>
        <v>0</v>
      </c>
      <c r="AD90" s="3">
        <f t="shared" si="74"/>
        <v>0</v>
      </c>
      <c r="AE90" s="3">
        <f t="shared" si="74"/>
        <v>0</v>
      </c>
      <c r="AF90" s="3">
        <f t="shared" si="74"/>
        <v>0</v>
      </c>
      <c r="AG90" s="3">
        <f t="shared" si="74"/>
        <v>0</v>
      </c>
      <c r="AH90" s="3">
        <f t="shared" si="74"/>
        <v>0</v>
      </c>
      <c r="AI90" s="3">
        <f t="shared" si="74"/>
        <v>0</v>
      </c>
      <c r="AJ90" s="3">
        <f t="shared" si="74"/>
        <v>0</v>
      </c>
      <c r="AK90" s="3">
        <f t="shared" si="74"/>
        <v>0</v>
      </c>
      <c r="AL90" s="3">
        <f t="shared" si="74"/>
        <v>0</v>
      </c>
      <c r="AM90" s="3">
        <f>-AM93+AM95</f>
        <v>0</v>
      </c>
      <c r="AN90" s="3">
        <f t="shared" si="74"/>
        <v>0</v>
      </c>
      <c r="AO90" s="3">
        <f t="shared" si="74"/>
        <v>0</v>
      </c>
      <c r="AP90" s="3">
        <f t="shared" si="74"/>
        <v>0</v>
      </c>
      <c r="AQ90" s="3">
        <f t="shared" si="74"/>
        <v>0</v>
      </c>
      <c r="AR90" s="3">
        <f t="shared" si="74"/>
        <v>0</v>
      </c>
      <c r="AS90" s="3">
        <f t="shared" si="74"/>
        <v>0</v>
      </c>
    </row>
    <row r="91" spans="1:59" x14ac:dyDescent="0.2">
      <c r="A91" s="4" t="s">
        <v>103</v>
      </c>
      <c r="B91" s="4"/>
      <c r="C91" s="52">
        <f>MAX(F91:AS91)</f>
        <v>88986276880.290482</v>
      </c>
      <c r="F91" s="3">
        <f>E94</f>
        <v>0</v>
      </c>
      <c r="G91" s="3">
        <f t="shared" ref="G91:AS91" si="75">F94</f>
        <v>4184396165.448</v>
      </c>
      <c r="H91" s="3">
        <f t="shared" si="75"/>
        <v>5511835106.2760401</v>
      </c>
      <c r="I91" s="3">
        <f t="shared" si="75"/>
        <v>6422641502.15839</v>
      </c>
      <c r="J91" s="3">
        <f t="shared" si="75"/>
        <v>7568415067.9998322</v>
      </c>
      <c r="K91" s="3">
        <f t="shared" si="75"/>
        <v>8534931765.7535248</v>
      </c>
      <c r="L91" s="3">
        <f t="shared" si="75"/>
        <v>11041457292.599983</v>
      </c>
      <c r="M91" s="3">
        <f t="shared" si="75"/>
        <v>14024222482.715797</v>
      </c>
      <c r="N91" s="3">
        <f t="shared" si="75"/>
        <v>17646322266.421207</v>
      </c>
      <c r="O91" s="3">
        <f t="shared" ref="O91" si="76">N94</f>
        <v>21531958896.467377</v>
      </c>
      <c r="P91" s="3">
        <f t="shared" ref="P91" si="77">O94</f>
        <v>24927437523.921139</v>
      </c>
      <c r="Q91" s="3">
        <f t="shared" ref="Q91" si="78">P94</f>
        <v>28952459067.424679</v>
      </c>
      <c r="R91" s="3">
        <f t="shared" ref="R91" si="79">Q94</f>
        <v>33514647157.488579</v>
      </c>
      <c r="S91" s="3">
        <f t="shared" ref="S91" si="80">R94</f>
        <v>38406514598.584206</v>
      </c>
      <c r="T91" s="3">
        <f t="shared" ref="T91" si="81">S94</f>
        <v>43731873194.138351</v>
      </c>
      <c r="U91" s="3">
        <f t="shared" ref="U91" si="82">T94</f>
        <v>48946747376.125046</v>
      </c>
      <c r="V91" s="3">
        <f t="shared" ref="V91" si="83">U94</f>
        <v>54568532568.228226</v>
      </c>
      <c r="W91" s="3">
        <f t="shared" ref="W91" si="84">V94</f>
        <v>60518144364.97361</v>
      </c>
      <c r="X91" s="3">
        <f t="shared" ref="X91" si="85">W94</f>
        <v>66493435255.884071</v>
      </c>
      <c r="Y91" s="3">
        <f t="shared" ref="Y91" si="86">X94</f>
        <v>72576825585.994446</v>
      </c>
      <c r="Z91" s="3">
        <f t="shared" ref="Z91" si="87">Y94</f>
        <v>78841963138.416504</v>
      </c>
      <c r="AA91" s="3">
        <f t="shared" ref="AA91" si="88">Z94</f>
        <v>84078860576.364441</v>
      </c>
      <c r="AB91" s="3">
        <f t="shared" ref="AB91" si="89">AA94</f>
        <v>88986276880.290482</v>
      </c>
      <c r="AC91" s="3">
        <f t="shared" ref="AC91" si="90">AB94</f>
        <v>0</v>
      </c>
      <c r="AD91" s="3">
        <f t="shared" ref="AD91" si="91">AC94</f>
        <v>0</v>
      </c>
      <c r="AE91" s="3">
        <f t="shared" ref="AE91" si="92">AD94</f>
        <v>0</v>
      </c>
      <c r="AF91" s="3">
        <f t="shared" ref="AF91" si="93">AE94</f>
        <v>0</v>
      </c>
      <c r="AG91" s="3">
        <f t="shared" ref="AG91" si="94">AF94</f>
        <v>0</v>
      </c>
      <c r="AH91" s="3">
        <f t="shared" ref="AH91" si="95">AG94</f>
        <v>0</v>
      </c>
      <c r="AI91" s="3">
        <f t="shared" ref="AI91" si="96">AH94</f>
        <v>0</v>
      </c>
      <c r="AJ91" s="3">
        <f t="shared" ref="AJ91" si="97">AI94</f>
        <v>0</v>
      </c>
      <c r="AK91" s="3">
        <f t="shared" ref="AK91" si="98">AJ94</f>
        <v>0</v>
      </c>
      <c r="AL91" s="3">
        <f t="shared" ref="AL91" si="99">AK94</f>
        <v>0</v>
      </c>
      <c r="AM91" s="3">
        <f t="shared" si="75"/>
        <v>0</v>
      </c>
      <c r="AN91" s="3">
        <f t="shared" si="75"/>
        <v>0</v>
      </c>
      <c r="AO91" s="3">
        <f t="shared" si="75"/>
        <v>0</v>
      </c>
      <c r="AP91" s="3">
        <f t="shared" si="75"/>
        <v>0</v>
      </c>
      <c r="AQ91" s="3">
        <f t="shared" si="75"/>
        <v>0</v>
      </c>
      <c r="AR91" s="3">
        <f t="shared" si="75"/>
        <v>0</v>
      </c>
      <c r="AS91" s="3">
        <f t="shared" si="75"/>
        <v>0</v>
      </c>
    </row>
    <row r="92" spans="1:59" x14ac:dyDescent="0.2">
      <c r="A92" s="4" t="s">
        <v>122</v>
      </c>
      <c r="B92" s="4"/>
      <c r="C92" s="52">
        <f>SUM(F92:AS92)</f>
        <v>88986276880.290482</v>
      </c>
      <c r="D92" s="65">
        <v>0</v>
      </c>
      <c r="F92" s="36">
        <f t="shared" ref="F92:AS92" si="100">F15*(1-$D$92)*F$8</f>
        <v>4184396165.448</v>
      </c>
      <c r="G92" s="36">
        <f t="shared" si="100"/>
        <v>1327438940.8280399</v>
      </c>
      <c r="H92" s="36">
        <f t="shared" si="100"/>
        <v>910806395.88234961</v>
      </c>
      <c r="I92" s="36">
        <f t="shared" si="100"/>
        <v>1145773565.8414426</v>
      </c>
      <c r="J92" s="36">
        <f t="shared" si="100"/>
        <v>966516697.75369287</v>
      </c>
      <c r="K92" s="36">
        <f t="shared" si="100"/>
        <v>2506525526.8464594</v>
      </c>
      <c r="L92" s="36">
        <f t="shared" si="100"/>
        <v>2982765190.1158152</v>
      </c>
      <c r="M92" s="36">
        <f t="shared" si="100"/>
        <v>3622099783.7054105</v>
      </c>
      <c r="N92" s="36">
        <f t="shared" si="100"/>
        <v>3885636630.0461707</v>
      </c>
      <c r="O92" s="36">
        <f t="shared" si="100"/>
        <v>3395478627.4537606</v>
      </c>
      <c r="P92" s="36">
        <f t="shared" si="100"/>
        <v>4025021543.5035386</v>
      </c>
      <c r="Q92" s="36">
        <f t="shared" si="100"/>
        <v>4562188090.063899</v>
      </c>
      <c r="R92" s="36">
        <f t="shared" si="100"/>
        <v>4891867441.0956249</v>
      </c>
      <c r="S92" s="36">
        <f t="shared" si="100"/>
        <v>5325358595.5541496</v>
      </c>
      <c r="T92" s="36">
        <f t="shared" si="100"/>
        <v>5214874181.9866924</v>
      </c>
      <c r="U92" s="36">
        <f t="shared" si="100"/>
        <v>5621785192.1031818</v>
      </c>
      <c r="V92" s="36">
        <f t="shared" si="100"/>
        <v>5949611796.7453861</v>
      </c>
      <c r="W92" s="36">
        <f t="shared" si="100"/>
        <v>5975290890.9104586</v>
      </c>
      <c r="X92" s="36">
        <f t="shared" si="100"/>
        <v>6083390330.1103821</v>
      </c>
      <c r="Y92" s="36">
        <f t="shared" si="100"/>
        <v>6265137552.4220562</v>
      </c>
      <c r="Z92" s="36">
        <f t="shared" si="100"/>
        <v>5236897437.9479446</v>
      </c>
      <c r="AA92" s="287">
        <f t="shared" si="100"/>
        <v>4907416303.926034</v>
      </c>
      <c r="AB92" s="36">
        <f t="shared" si="100"/>
        <v>0</v>
      </c>
      <c r="AC92" s="36">
        <f t="shared" si="100"/>
        <v>0</v>
      </c>
      <c r="AD92" s="36">
        <f t="shared" si="100"/>
        <v>0</v>
      </c>
      <c r="AE92" s="36">
        <f t="shared" si="100"/>
        <v>0</v>
      </c>
      <c r="AF92" s="36">
        <f t="shared" si="100"/>
        <v>0</v>
      </c>
      <c r="AG92" s="36">
        <f t="shared" si="100"/>
        <v>0</v>
      </c>
      <c r="AH92" s="36">
        <f t="shared" si="100"/>
        <v>0</v>
      </c>
      <c r="AI92" s="36">
        <f t="shared" si="100"/>
        <v>0</v>
      </c>
      <c r="AJ92" s="36">
        <f t="shared" si="100"/>
        <v>0</v>
      </c>
      <c r="AK92" s="36">
        <f t="shared" si="100"/>
        <v>0</v>
      </c>
      <c r="AL92" s="36">
        <f t="shared" si="100"/>
        <v>0</v>
      </c>
      <c r="AM92" s="36">
        <f t="shared" si="100"/>
        <v>0</v>
      </c>
      <c r="AN92" s="36">
        <f t="shared" si="100"/>
        <v>0</v>
      </c>
      <c r="AO92" s="36">
        <f t="shared" si="100"/>
        <v>0</v>
      </c>
      <c r="AP92" s="36">
        <f t="shared" si="100"/>
        <v>0</v>
      </c>
      <c r="AQ92" s="36">
        <f t="shared" si="100"/>
        <v>0</v>
      </c>
      <c r="AR92" s="36">
        <f t="shared" si="100"/>
        <v>0</v>
      </c>
      <c r="AS92" s="36">
        <f t="shared" si="100"/>
        <v>0</v>
      </c>
    </row>
    <row r="93" spans="1:59" ht="15.75" x14ac:dyDescent="0.25">
      <c r="A93" s="4" t="s">
        <v>104</v>
      </c>
      <c r="B93" s="4"/>
      <c r="C93" s="52">
        <f>SUM(F93:AS93)</f>
        <v>-88986276880.290482</v>
      </c>
      <c r="F93" s="3">
        <f t="shared" ref="F93:AS93" si="101">-F6*SUM(F91,F92)</f>
        <v>0</v>
      </c>
      <c r="G93" s="3">
        <f t="shared" si="101"/>
        <v>0</v>
      </c>
      <c r="H93" s="3">
        <f t="shared" si="101"/>
        <v>0</v>
      </c>
      <c r="I93" s="3">
        <f t="shared" si="101"/>
        <v>0</v>
      </c>
      <c r="J93" s="3">
        <f t="shared" si="101"/>
        <v>0</v>
      </c>
      <c r="K93" s="3">
        <f t="shared" si="101"/>
        <v>0</v>
      </c>
      <c r="L93" s="3">
        <f t="shared" si="101"/>
        <v>0</v>
      </c>
      <c r="M93" s="3">
        <f t="shared" si="101"/>
        <v>0</v>
      </c>
      <c r="N93" s="3">
        <f t="shared" si="101"/>
        <v>0</v>
      </c>
      <c r="O93" s="3">
        <f t="shared" si="101"/>
        <v>0</v>
      </c>
      <c r="P93" s="3">
        <f t="shared" si="101"/>
        <v>0</v>
      </c>
      <c r="Q93" s="3">
        <f t="shared" si="101"/>
        <v>0</v>
      </c>
      <c r="R93" s="3">
        <f t="shared" si="101"/>
        <v>0</v>
      </c>
      <c r="S93" s="3">
        <f t="shared" si="101"/>
        <v>0</v>
      </c>
      <c r="T93" s="3">
        <f t="shared" si="101"/>
        <v>0</v>
      </c>
      <c r="U93" s="3">
        <f t="shared" si="101"/>
        <v>0</v>
      </c>
      <c r="V93" s="3">
        <f t="shared" si="101"/>
        <v>0</v>
      </c>
      <c r="W93" s="3">
        <f t="shared" si="101"/>
        <v>0</v>
      </c>
      <c r="X93" s="3">
        <f t="shared" si="101"/>
        <v>0</v>
      </c>
      <c r="Y93" s="3">
        <f t="shared" si="101"/>
        <v>0</v>
      </c>
      <c r="Z93" s="3">
        <f t="shared" si="101"/>
        <v>0</v>
      </c>
      <c r="AA93" s="288">
        <f t="shared" si="101"/>
        <v>0</v>
      </c>
      <c r="AB93" s="3">
        <f t="shared" si="101"/>
        <v>-88986276880.290482</v>
      </c>
      <c r="AC93" s="3">
        <f t="shared" si="101"/>
        <v>0</v>
      </c>
      <c r="AD93" s="3">
        <f t="shared" si="101"/>
        <v>0</v>
      </c>
      <c r="AE93" s="3">
        <f t="shared" si="101"/>
        <v>0</v>
      </c>
      <c r="AF93" s="3">
        <f t="shared" si="101"/>
        <v>0</v>
      </c>
      <c r="AG93" s="3">
        <f t="shared" si="101"/>
        <v>0</v>
      </c>
      <c r="AH93" s="3">
        <f t="shared" si="101"/>
        <v>0</v>
      </c>
      <c r="AI93" s="3">
        <f t="shared" si="101"/>
        <v>0</v>
      </c>
      <c r="AJ93" s="3">
        <f t="shared" si="101"/>
        <v>0</v>
      </c>
      <c r="AK93" s="3">
        <f t="shared" si="101"/>
        <v>0</v>
      </c>
      <c r="AL93" s="3">
        <f t="shared" si="101"/>
        <v>0</v>
      </c>
      <c r="AM93" s="3">
        <f t="shared" si="101"/>
        <v>0</v>
      </c>
      <c r="AN93" s="3">
        <f t="shared" si="101"/>
        <v>0</v>
      </c>
      <c r="AO93" s="3">
        <f t="shared" si="101"/>
        <v>0</v>
      </c>
      <c r="AP93" s="3">
        <f t="shared" si="101"/>
        <v>0</v>
      </c>
      <c r="AQ93" s="3">
        <f t="shared" si="101"/>
        <v>0</v>
      </c>
      <c r="AR93" s="3">
        <f t="shared" si="101"/>
        <v>0</v>
      </c>
      <c r="AS93" s="3">
        <f t="shared" si="101"/>
        <v>0</v>
      </c>
      <c r="AT93" s="40" t="s">
        <v>40</v>
      </c>
    </row>
    <row r="94" spans="1:59" x14ac:dyDescent="0.2">
      <c r="A94" s="4" t="s">
        <v>105</v>
      </c>
      <c r="B94" s="4"/>
      <c r="C94" s="52">
        <f>MAX(F94:AS94)</f>
        <v>88986276880.290482</v>
      </c>
      <c r="E94" s="48"/>
      <c r="F94" s="36">
        <f>SUM(F91:F93)</f>
        <v>4184396165.448</v>
      </c>
      <c r="G94" s="36">
        <f t="shared" ref="G94:AS94" si="102">SUM(G91:G93)</f>
        <v>5511835106.2760401</v>
      </c>
      <c r="H94" s="36">
        <f t="shared" si="102"/>
        <v>6422641502.15839</v>
      </c>
      <c r="I94" s="36">
        <f t="shared" si="102"/>
        <v>7568415067.9998322</v>
      </c>
      <c r="J94" s="36">
        <f t="shared" si="102"/>
        <v>8534931765.7535248</v>
      </c>
      <c r="K94" s="36">
        <f t="shared" si="102"/>
        <v>11041457292.599983</v>
      </c>
      <c r="L94" s="36">
        <f t="shared" si="102"/>
        <v>14024222482.715797</v>
      </c>
      <c r="M94" s="36">
        <f t="shared" si="102"/>
        <v>17646322266.421207</v>
      </c>
      <c r="N94" s="36">
        <f t="shared" si="102"/>
        <v>21531958896.467377</v>
      </c>
      <c r="O94" s="36">
        <f t="shared" si="102"/>
        <v>24927437523.921139</v>
      </c>
      <c r="P94" s="36">
        <f t="shared" si="102"/>
        <v>28952459067.424679</v>
      </c>
      <c r="Q94" s="36">
        <f t="shared" si="102"/>
        <v>33514647157.488579</v>
      </c>
      <c r="R94" s="36">
        <f t="shared" si="102"/>
        <v>38406514598.584206</v>
      </c>
      <c r="S94" s="36">
        <f t="shared" si="102"/>
        <v>43731873194.138351</v>
      </c>
      <c r="T94" s="36">
        <f t="shared" si="102"/>
        <v>48946747376.125046</v>
      </c>
      <c r="U94" s="36">
        <f t="shared" si="102"/>
        <v>54568532568.228226</v>
      </c>
      <c r="V94" s="36">
        <f t="shared" si="102"/>
        <v>60518144364.97361</v>
      </c>
      <c r="W94" s="36">
        <f t="shared" si="102"/>
        <v>66493435255.884071</v>
      </c>
      <c r="X94" s="36">
        <f t="shared" si="102"/>
        <v>72576825585.994446</v>
      </c>
      <c r="Y94" s="36">
        <f t="shared" si="102"/>
        <v>78841963138.416504</v>
      </c>
      <c r="Z94" s="36">
        <f t="shared" si="102"/>
        <v>84078860576.364441</v>
      </c>
      <c r="AA94" s="287">
        <f>SUM(AA91:AA93)</f>
        <v>88986276880.290482</v>
      </c>
      <c r="AB94" s="36">
        <f t="shared" si="102"/>
        <v>0</v>
      </c>
      <c r="AC94" s="36">
        <f t="shared" si="102"/>
        <v>0</v>
      </c>
      <c r="AD94" s="36">
        <f t="shared" si="102"/>
        <v>0</v>
      </c>
      <c r="AE94" s="36">
        <f t="shared" si="102"/>
        <v>0</v>
      </c>
      <c r="AF94" s="36">
        <f t="shared" si="102"/>
        <v>0</v>
      </c>
      <c r="AG94" s="36">
        <f t="shared" si="102"/>
        <v>0</v>
      </c>
      <c r="AH94" s="36">
        <f t="shared" si="102"/>
        <v>0</v>
      </c>
      <c r="AI94" s="36">
        <f t="shared" si="102"/>
        <v>0</v>
      </c>
      <c r="AJ94" s="36">
        <f t="shared" si="102"/>
        <v>0</v>
      </c>
      <c r="AK94" s="36">
        <f t="shared" si="102"/>
        <v>0</v>
      </c>
      <c r="AL94" s="36">
        <f t="shared" si="102"/>
        <v>0</v>
      </c>
      <c r="AM94" s="36">
        <f t="shared" si="102"/>
        <v>0</v>
      </c>
      <c r="AN94" s="36">
        <f t="shared" si="102"/>
        <v>0</v>
      </c>
      <c r="AO94" s="36">
        <f t="shared" si="102"/>
        <v>0</v>
      </c>
      <c r="AP94" s="36">
        <f t="shared" si="102"/>
        <v>0</v>
      </c>
      <c r="AQ94" s="36">
        <f t="shared" si="102"/>
        <v>0</v>
      </c>
      <c r="AR94" s="36">
        <f t="shared" si="102"/>
        <v>0</v>
      </c>
      <c r="AS94" s="36">
        <f t="shared" si="102"/>
        <v>0</v>
      </c>
    </row>
    <row r="95" spans="1:59" x14ac:dyDescent="0.2">
      <c r="A95" s="4" t="s">
        <v>9</v>
      </c>
      <c r="B95" s="4"/>
      <c r="C95" s="52">
        <f>SUM(F95:AS95)</f>
        <v>0</v>
      </c>
      <c r="F95" s="36">
        <f t="shared" ref="F95:AS95" si="103">F15*F9</f>
        <v>0</v>
      </c>
      <c r="G95" s="36">
        <f t="shared" si="103"/>
        <v>0</v>
      </c>
      <c r="H95" s="36">
        <f t="shared" si="103"/>
        <v>0</v>
      </c>
      <c r="I95" s="36">
        <f t="shared" si="103"/>
        <v>0</v>
      </c>
      <c r="J95" s="36">
        <f t="shared" si="103"/>
        <v>0</v>
      </c>
      <c r="K95" s="36">
        <f t="shared" si="103"/>
        <v>0</v>
      </c>
      <c r="L95" s="36">
        <f t="shared" si="103"/>
        <v>0</v>
      </c>
      <c r="M95" s="36">
        <f t="shared" si="103"/>
        <v>0</v>
      </c>
      <c r="N95" s="36">
        <f t="shared" si="103"/>
        <v>0</v>
      </c>
      <c r="O95" s="36">
        <f t="shared" si="103"/>
        <v>0</v>
      </c>
      <c r="P95" s="36">
        <f t="shared" si="103"/>
        <v>0</v>
      </c>
      <c r="Q95" s="36">
        <f t="shared" si="103"/>
        <v>0</v>
      </c>
      <c r="R95" s="36">
        <f t="shared" si="103"/>
        <v>0</v>
      </c>
      <c r="S95" s="36">
        <f t="shared" si="103"/>
        <v>0</v>
      </c>
      <c r="T95" s="36">
        <f t="shared" si="103"/>
        <v>0</v>
      </c>
      <c r="U95" s="36">
        <f t="shared" si="103"/>
        <v>0</v>
      </c>
      <c r="V95" s="36">
        <f t="shared" si="103"/>
        <v>0</v>
      </c>
      <c r="W95" s="36">
        <f t="shared" si="103"/>
        <v>0</v>
      </c>
      <c r="X95" s="36">
        <f t="shared" si="103"/>
        <v>0</v>
      </c>
      <c r="Y95" s="36">
        <f t="shared" si="103"/>
        <v>0</v>
      </c>
      <c r="Z95" s="36">
        <f t="shared" si="103"/>
        <v>0</v>
      </c>
      <c r="AA95" s="287">
        <f t="shared" si="103"/>
        <v>0</v>
      </c>
      <c r="AB95" s="36">
        <f t="shared" si="103"/>
        <v>0</v>
      </c>
      <c r="AC95" s="36">
        <f t="shared" si="103"/>
        <v>0</v>
      </c>
      <c r="AD95" s="36">
        <f t="shared" si="103"/>
        <v>0</v>
      </c>
      <c r="AE95" s="36">
        <f t="shared" si="103"/>
        <v>0</v>
      </c>
      <c r="AF95" s="36">
        <f t="shared" si="103"/>
        <v>0</v>
      </c>
      <c r="AG95" s="36">
        <f t="shared" si="103"/>
        <v>0</v>
      </c>
      <c r="AH95" s="36">
        <f t="shared" si="103"/>
        <v>0</v>
      </c>
      <c r="AI95" s="36">
        <f t="shared" si="103"/>
        <v>0</v>
      </c>
      <c r="AJ95" s="36">
        <f t="shared" si="103"/>
        <v>0</v>
      </c>
      <c r="AK95" s="36">
        <f t="shared" si="103"/>
        <v>0</v>
      </c>
      <c r="AL95" s="36">
        <f t="shared" si="103"/>
        <v>0</v>
      </c>
      <c r="AM95" s="36">
        <f t="shared" si="103"/>
        <v>0</v>
      </c>
      <c r="AN95" s="36">
        <f t="shared" si="103"/>
        <v>0</v>
      </c>
      <c r="AO95" s="36">
        <f t="shared" si="103"/>
        <v>0</v>
      </c>
      <c r="AP95" s="36">
        <f t="shared" si="103"/>
        <v>0</v>
      </c>
      <c r="AQ95" s="36">
        <f t="shared" si="103"/>
        <v>0</v>
      </c>
      <c r="AR95" s="36">
        <f t="shared" si="103"/>
        <v>0</v>
      </c>
      <c r="AS95" s="36">
        <f t="shared" si="103"/>
        <v>0</v>
      </c>
    </row>
    <row r="96" spans="1:59" ht="15.75" x14ac:dyDescent="0.25">
      <c r="A96" s="31"/>
      <c r="B96" s="31"/>
      <c r="C96" s="60"/>
      <c r="D96" s="38"/>
      <c r="E96" s="38"/>
    </row>
    <row r="97" spans="1:46" s="66" customFormat="1" ht="15.75" x14ac:dyDescent="0.25">
      <c r="A97" s="66" t="s">
        <v>10</v>
      </c>
      <c r="C97" s="76">
        <f>MAX(F97:AS97)</f>
        <v>0</v>
      </c>
      <c r="D97" s="67"/>
      <c r="E97" s="67"/>
      <c r="G97" s="68">
        <f>F106</f>
        <v>0</v>
      </c>
      <c r="H97" s="68">
        <f t="shared" ref="H97:AS97" si="104">G106</f>
        <v>0</v>
      </c>
      <c r="I97" s="68">
        <f t="shared" si="104"/>
        <v>0</v>
      </c>
      <c r="J97" s="68">
        <f>I106</f>
        <v>0</v>
      </c>
      <c r="K97" s="68">
        <f t="shared" si="104"/>
        <v>0</v>
      </c>
      <c r="L97" s="68">
        <f t="shared" si="104"/>
        <v>0</v>
      </c>
      <c r="M97" s="68">
        <f t="shared" si="104"/>
        <v>0</v>
      </c>
      <c r="N97" s="68">
        <f t="shared" si="104"/>
        <v>0</v>
      </c>
      <c r="O97" s="68">
        <f t="shared" si="104"/>
        <v>0</v>
      </c>
      <c r="P97" s="68">
        <f t="shared" si="104"/>
        <v>0</v>
      </c>
      <c r="Q97" s="68">
        <f t="shared" si="104"/>
        <v>0</v>
      </c>
      <c r="R97" s="68">
        <f t="shared" si="104"/>
        <v>0</v>
      </c>
      <c r="S97" s="68">
        <f t="shared" si="104"/>
        <v>0</v>
      </c>
      <c r="T97" s="68">
        <f t="shared" si="104"/>
        <v>0</v>
      </c>
      <c r="U97" s="68">
        <f t="shared" si="104"/>
        <v>0</v>
      </c>
      <c r="V97" s="68">
        <f t="shared" si="104"/>
        <v>0</v>
      </c>
      <c r="W97" s="68">
        <f t="shared" si="104"/>
        <v>0</v>
      </c>
      <c r="X97" s="68">
        <f t="shared" si="104"/>
        <v>0</v>
      </c>
      <c r="Y97" s="68">
        <f t="shared" si="104"/>
        <v>0</v>
      </c>
      <c r="Z97" s="68">
        <f t="shared" si="104"/>
        <v>0</v>
      </c>
      <c r="AA97" s="290">
        <f t="shared" si="104"/>
        <v>0</v>
      </c>
      <c r="AB97" s="68">
        <f t="shared" si="104"/>
        <v>0</v>
      </c>
      <c r="AC97" s="68">
        <f t="shared" si="104"/>
        <v>0</v>
      </c>
      <c r="AD97" s="68">
        <f t="shared" si="104"/>
        <v>0</v>
      </c>
      <c r="AE97" s="68">
        <f t="shared" si="104"/>
        <v>0</v>
      </c>
      <c r="AF97" s="68">
        <f t="shared" si="104"/>
        <v>0</v>
      </c>
      <c r="AG97" s="68">
        <f t="shared" si="104"/>
        <v>0</v>
      </c>
      <c r="AH97" s="68">
        <f t="shared" si="104"/>
        <v>0</v>
      </c>
      <c r="AI97" s="68">
        <f t="shared" si="104"/>
        <v>0</v>
      </c>
      <c r="AJ97" s="68">
        <f t="shared" si="104"/>
        <v>0</v>
      </c>
      <c r="AK97" s="68">
        <f t="shared" si="104"/>
        <v>0</v>
      </c>
      <c r="AL97" s="68">
        <f t="shared" si="104"/>
        <v>0</v>
      </c>
      <c r="AM97" s="68">
        <f t="shared" si="104"/>
        <v>0</v>
      </c>
      <c r="AN97" s="68">
        <f t="shared" si="104"/>
        <v>0</v>
      </c>
      <c r="AO97" s="68">
        <f t="shared" si="104"/>
        <v>0</v>
      </c>
      <c r="AP97" s="68">
        <f t="shared" si="104"/>
        <v>0</v>
      </c>
      <c r="AQ97" s="68">
        <f t="shared" si="104"/>
        <v>0</v>
      </c>
      <c r="AR97" s="68">
        <f t="shared" si="104"/>
        <v>0</v>
      </c>
      <c r="AS97" s="68">
        <f t="shared" si="104"/>
        <v>0</v>
      </c>
    </row>
    <row r="98" spans="1:46" x14ac:dyDescent="0.2">
      <c r="A98" s="1" t="s">
        <v>11</v>
      </c>
      <c r="C98" s="52">
        <f>SUM(F98:AS98)</f>
        <v>-81180073239.169403</v>
      </c>
      <c r="F98" s="3">
        <f>-SUM(F18,F132)*F8</f>
        <v>-2858542542.9846368</v>
      </c>
      <c r="G98" s="3">
        <f>-SUM(G18,G132)*G8</f>
        <v>-758092771.32673085</v>
      </c>
      <c r="H98" s="3">
        <f t="shared" ref="H98:AS98" si="105">-SUM(H18,H132)*H8</f>
        <v>-1913303272.9568851</v>
      </c>
      <c r="I98" s="3">
        <f t="shared" si="105"/>
        <v>-1947571347.2176352</v>
      </c>
      <c r="J98" s="3">
        <f t="shared" si="105"/>
        <v>-1947571347.2176352</v>
      </c>
      <c r="K98" s="3">
        <f t="shared" si="105"/>
        <v>-3483997919.3761353</v>
      </c>
      <c r="L98" s="3">
        <f t="shared" si="105"/>
        <v>-2574906495.929697</v>
      </c>
      <c r="M98" s="3">
        <f t="shared" si="105"/>
        <v>-3968853379.9223928</v>
      </c>
      <c r="N98" s="3">
        <f t="shared" si="105"/>
        <v>-3717725664.9266558</v>
      </c>
      <c r="O98" s="3">
        <f t="shared" si="105"/>
        <v>-2613903585.8025379</v>
      </c>
      <c r="P98" s="3">
        <f t="shared" si="105"/>
        <v>-3259328975.3626285</v>
      </c>
      <c r="Q98" s="3">
        <f t="shared" si="105"/>
        <v>-4500192031.4663525</v>
      </c>
      <c r="R98" s="3">
        <f t="shared" si="105"/>
        <v>-4618772711.3064957</v>
      </c>
      <c r="S98" s="3">
        <f t="shared" si="105"/>
        <v>-4971066766.9589357</v>
      </c>
      <c r="T98" s="3">
        <f t="shared" si="105"/>
        <v>-5020295530.6653347</v>
      </c>
      <c r="U98" s="3">
        <f t="shared" si="105"/>
        <v>-4724964266.2528734</v>
      </c>
      <c r="V98" s="3">
        <f t="shared" si="105"/>
        <v>-5065951786.6434574</v>
      </c>
      <c r="W98" s="3">
        <f t="shared" si="105"/>
        <v>-6272532307.3499908</v>
      </c>
      <c r="X98" s="3">
        <f t="shared" si="105"/>
        <v>-6187650902.5717373</v>
      </c>
      <c r="Y98" s="3">
        <f t="shared" si="105"/>
        <v>-5298362710.5382013</v>
      </c>
      <c r="Z98" s="3">
        <f t="shared" si="105"/>
        <v>-5016133457.2730074</v>
      </c>
      <c r="AA98" s="3">
        <f t="shared" si="105"/>
        <v>-460353465.11942536</v>
      </c>
      <c r="AB98" s="3">
        <f t="shared" si="105"/>
        <v>0</v>
      </c>
      <c r="AC98" s="3">
        <f t="shared" si="105"/>
        <v>0</v>
      </c>
      <c r="AD98" s="3">
        <f>-SUM(AD18,AD132)*AD8</f>
        <v>0</v>
      </c>
      <c r="AE98" s="3">
        <f t="shared" si="105"/>
        <v>0</v>
      </c>
      <c r="AF98" s="3">
        <f t="shared" si="105"/>
        <v>0</v>
      </c>
      <c r="AG98" s="3">
        <f t="shared" si="105"/>
        <v>0</v>
      </c>
      <c r="AH98" s="3">
        <f t="shared" si="105"/>
        <v>0</v>
      </c>
      <c r="AI98" s="3">
        <f t="shared" si="105"/>
        <v>0</v>
      </c>
      <c r="AJ98" s="3">
        <f t="shared" si="105"/>
        <v>0</v>
      </c>
      <c r="AK98" s="3">
        <f t="shared" si="105"/>
        <v>0</v>
      </c>
      <c r="AL98" s="3">
        <f t="shared" si="105"/>
        <v>0</v>
      </c>
      <c r="AM98" s="3">
        <f t="shared" si="105"/>
        <v>0</v>
      </c>
      <c r="AN98" s="3">
        <f t="shared" si="105"/>
        <v>0</v>
      </c>
      <c r="AO98" s="3">
        <f t="shared" si="105"/>
        <v>0</v>
      </c>
      <c r="AP98" s="3">
        <f t="shared" si="105"/>
        <v>0</v>
      </c>
      <c r="AQ98" s="3">
        <f t="shared" si="105"/>
        <v>0</v>
      </c>
      <c r="AR98" s="3">
        <f t="shared" si="105"/>
        <v>0</v>
      </c>
      <c r="AS98" s="3">
        <f t="shared" si="105"/>
        <v>0</v>
      </c>
    </row>
    <row r="99" spans="1:46" x14ac:dyDescent="0.2">
      <c r="A99" s="1" t="s">
        <v>12</v>
      </c>
      <c r="C99" s="52">
        <f>SUM(F99:AS99)</f>
        <v>81180073239.169403</v>
      </c>
      <c r="F99" s="3">
        <f>SUM(F100,F101)</f>
        <v>2858542542.9846368</v>
      </c>
      <c r="G99" s="3">
        <f>SUM(G100,G101)</f>
        <v>758092771.32673085</v>
      </c>
      <c r="H99" s="3">
        <f t="shared" ref="H99:AS99" si="106">SUM(H100,H101)</f>
        <v>1913303272.9568851</v>
      </c>
      <c r="I99" s="3">
        <f t="shared" si="106"/>
        <v>1947571347.2176352</v>
      </c>
      <c r="J99" s="3">
        <f t="shared" si="106"/>
        <v>1947571347.2176352</v>
      </c>
      <c r="K99" s="3">
        <f t="shared" si="106"/>
        <v>3483997919.3761353</v>
      </c>
      <c r="L99" s="3">
        <f t="shared" si="106"/>
        <v>2574906495.929697</v>
      </c>
      <c r="M99" s="3">
        <f>SUM(M100,M101)</f>
        <v>3968853379.9223928</v>
      </c>
      <c r="N99" s="3">
        <f t="shared" si="106"/>
        <v>3717725664.9266558</v>
      </c>
      <c r="O99" s="3">
        <f t="shared" si="106"/>
        <v>2613903585.8025379</v>
      </c>
      <c r="P99" s="3">
        <f t="shared" si="106"/>
        <v>3259328975.3626285</v>
      </c>
      <c r="Q99" s="3">
        <f t="shared" si="106"/>
        <v>4500192031.4663525</v>
      </c>
      <c r="R99" s="3">
        <f t="shared" si="106"/>
        <v>4618772711.3064957</v>
      </c>
      <c r="S99" s="3">
        <f t="shared" si="106"/>
        <v>4971066766.9589357</v>
      </c>
      <c r="T99" s="3">
        <f t="shared" si="106"/>
        <v>5020295530.6653347</v>
      </c>
      <c r="U99" s="3">
        <f t="shared" si="106"/>
        <v>4724964266.2528734</v>
      </c>
      <c r="V99" s="3">
        <f t="shared" si="106"/>
        <v>5065951786.6434574</v>
      </c>
      <c r="W99" s="3">
        <f t="shared" si="106"/>
        <v>6272532307.3499908</v>
      </c>
      <c r="X99" s="3">
        <f t="shared" si="106"/>
        <v>6187650902.5717373</v>
      </c>
      <c r="Y99" s="3">
        <f t="shared" si="106"/>
        <v>5298362710.5382013</v>
      </c>
      <c r="Z99" s="3">
        <f t="shared" si="106"/>
        <v>5016133457.2730074</v>
      </c>
      <c r="AA99" s="288">
        <f t="shared" si="106"/>
        <v>460353465.11942536</v>
      </c>
      <c r="AB99" s="109">
        <f t="shared" si="106"/>
        <v>0</v>
      </c>
      <c r="AC99" s="3">
        <f t="shared" si="106"/>
        <v>0</v>
      </c>
      <c r="AD99" s="3">
        <f t="shared" si="106"/>
        <v>0</v>
      </c>
      <c r="AE99" s="3">
        <f t="shared" si="106"/>
        <v>0</v>
      </c>
      <c r="AF99" s="3">
        <f t="shared" si="106"/>
        <v>0</v>
      </c>
      <c r="AG99" s="3">
        <f t="shared" si="106"/>
        <v>0</v>
      </c>
      <c r="AH99" s="3">
        <f t="shared" si="106"/>
        <v>0</v>
      </c>
      <c r="AI99" s="3">
        <f t="shared" si="106"/>
        <v>0</v>
      </c>
      <c r="AJ99" s="3">
        <f t="shared" si="106"/>
        <v>0</v>
      </c>
      <c r="AK99" s="3">
        <f t="shared" si="106"/>
        <v>0</v>
      </c>
      <c r="AL99" s="3">
        <f t="shared" si="106"/>
        <v>0</v>
      </c>
      <c r="AM99" s="3">
        <f t="shared" si="106"/>
        <v>0</v>
      </c>
      <c r="AN99" s="3">
        <f t="shared" si="106"/>
        <v>0</v>
      </c>
      <c r="AO99" s="3">
        <f t="shared" si="106"/>
        <v>0</v>
      </c>
      <c r="AP99" s="3">
        <f t="shared" si="106"/>
        <v>0</v>
      </c>
      <c r="AQ99" s="3">
        <f t="shared" si="106"/>
        <v>0</v>
      </c>
      <c r="AR99" s="3">
        <f t="shared" si="106"/>
        <v>0</v>
      </c>
      <c r="AS99" s="3">
        <f t="shared" si="106"/>
        <v>0</v>
      </c>
    </row>
    <row r="100" spans="1:46" x14ac:dyDescent="0.2">
      <c r="A100" s="4" t="s">
        <v>106</v>
      </c>
      <c r="B100" s="4"/>
      <c r="C100" s="52">
        <f>SUM(F100:AS100)</f>
        <v>81180073239.169403</v>
      </c>
      <c r="F100" s="3">
        <f t="shared" ref="F100:AS100" si="107">MAX(F93/(1-$D$92)+F108,-F97-F98)</f>
        <v>2858542542.9846368</v>
      </c>
      <c r="G100" s="3">
        <f>MAX(G93/(1-$D$92)+G108,-G97-G98)</f>
        <v>758092771.32673085</v>
      </c>
      <c r="H100" s="3">
        <f t="shared" si="107"/>
        <v>1913303272.9568851</v>
      </c>
      <c r="I100" s="3">
        <f t="shared" si="107"/>
        <v>1947571347.2176352</v>
      </c>
      <c r="J100" s="3">
        <f t="shared" si="107"/>
        <v>1947571347.2176352</v>
      </c>
      <c r="K100" s="3">
        <f t="shared" si="107"/>
        <v>3483997919.3761353</v>
      </c>
      <c r="L100" s="3">
        <f t="shared" si="107"/>
        <v>2574906495.929697</v>
      </c>
      <c r="M100" s="3">
        <f t="shared" si="107"/>
        <v>3968853379.9223928</v>
      </c>
      <c r="N100" s="3">
        <f t="shared" si="107"/>
        <v>3717725664.9266558</v>
      </c>
      <c r="O100" s="3">
        <f t="shared" si="107"/>
        <v>2613903585.8025379</v>
      </c>
      <c r="P100" s="3">
        <f t="shared" si="107"/>
        <v>3259328975.3626285</v>
      </c>
      <c r="Q100" s="3">
        <f t="shared" si="107"/>
        <v>4500192031.4663525</v>
      </c>
      <c r="R100" s="3">
        <f t="shared" si="107"/>
        <v>4618772711.3064957</v>
      </c>
      <c r="S100" s="3">
        <f t="shared" si="107"/>
        <v>4971066766.9589357</v>
      </c>
      <c r="T100" s="3">
        <f t="shared" si="107"/>
        <v>5020295530.6653347</v>
      </c>
      <c r="U100" s="3">
        <f t="shared" si="107"/>
        <v>4724964266.2528734</v>
      </c>
      <c r="V100" s="3">
        <f t="shared" si="107"/>
        <v>5065951786.6434574</v>
      </c>
      <c r="W100" s="3">
        <f t="shared" si="107"/>
        <v>6272532307.3499908</v>
      </c>
      <c r="X100" s="3">
        <f t="shared" si="107"/>
        <v>6187650902.5717373</v>
      </c>
      <c r="Y100" s="3">
        <f t="shared" si="107"/>
        <v>5298362710.5382013</v>
      </c>
      <c r="Z100" s="3">
        <f t="shared" si="107"/>
        <v>5016133457.2730074</v>
      </c>
      <c r="AA100" s="288">
        <f t="shared" si="107"/>
        <v>460353465.11942536</v>
      </c>
      <c r="AB100" s="3">
        <f t="shared" si="107"/>
        <v>0</v>
      </c>
      <c r="AC100" s="3">
        <f>MAX(AC93/(1-$D$92)+AC108,-AC97-AC98)</f>
        <v>0</v>
      </c>
      <c r="AD100" s="3">
        <f t="shared" si="107"/>
        <v>0</v>
      </c>
      <c r="AE100" s="3">
        <f t="shared" si="107"/>
        <v>0</v>
      </c>
      <c r="AF100" s="3">
        <f t="shared" si="107"/>
        <v>0</v>
      </c>
      <c r="AG100" s="3">
        <f t="shared" si="107"/>
        <v>0</v>
      </c>
      <c r="AH100" s="3">
        <f t="shared" si="107"/>
        <v>0</v>
      </c>
      <c r="AI100" s="3">
        <f t="shared" si="107"/>
        <v>0</v>
      </c>
      <c r="AJ100" s="3">
        <f t="shared" si="107"/>
        <v>0</v>
      </c>
      <c r="AK100" s="3">
        <f t="shared" si="107"/>
        <v>0</v>
      </c>
      <c r="AL100" s="3">
        <f t="shared" si="107"/>
        <v>0</v>
      </c>
      <c r="AM100" s="3">
        <f t="shared" si="107"/>
        <v>0</v>
      </c>
      <c r="AN100" s="3">
        <f t="shared" si="107"/>
        <v>0</v>
      </c>
      <c r="AO100" s="3">
        <f t="shared" si="107"/>
        <v>0</v>
      </c>
      <c r="AP100" s="3">
        <f t="shared" si="107"/>
        <v>0</v>
      </c>
      <c r="AQ100" s="3">
        <f t="shared" si="107"/>
        <v>0</v>
      </c>
      <c r="AR100" s="3">
        <f t="shared" si="107"/>
        <v>0</v>
      </c>
      <c r="AS100" s="3">
        <f t="shared" si="107"/>
        <v>0</v>
      </c>
    </row>
    <row r="101" spans="1:46" x14ac:dyDescent="0.2">
      <c r="A101" s="4" t="s">
        <v>107</v>
      </c>
      <c r="B101" s="4"/>
      <c r="C101" s="52">
        <f>SUM(F101:AS101)</f>
        <v>0</v>
      </c>
      <c r="F101" s="3">
        <f>M105</f>
        <v>0</v>
      </c>
      <c r="G101" s="3">
        <f t="shared" ref="G101:AS101" si="108">N105</f>
        <v>0</v>
      </c>
      <c r="H101" s="3">
        <f t="shared" si="108"/>
        <v>0</v>
      </c>
      <c r="I101" s="3">
        <f t="shared" si="108"/>
        <v>0</v>
      </c>
      <c r="J101" s="3">
        <f t="shared" si="108"/>
        <v>0</v>
      </c>
      <c r="K101" s="3">
        <f t="shared" si="108"/>
        <v>0</v>
      </c>
      <c r="L101" s="3">
        <f t="shared" si="108"/>
        <v>0</v>
      </c>
      <c r="M101" s="3">
        <f t="shared" si="108"/>
        <v>0</v>
      </c>
      <c r="N101" s="3">
        <f t="shared" si="108"/>
        <v>0</v>
      </c>
      <c r="O101" s="3">
        <f t="shared" si="108"/>
        <v>0</v>
      </c>
      <c r="P101" s="3">
        <f t="shared" si="108"/>
        <v>0</v>
      </c>
      <c r="Q101" s="3">
        <f t="shared" si="108"/>
        <v>0</v>
      </c>
      <c r="R101" s="3">
        <f t="shared" si="108"/>
        <v>0</v>
      </c>
      <c r="S101" s="3">
        <f t="shared" si="108"/>
        <v>0</v>
      </c>
      <c r="T101" s="3">
        <f t="shared" si="108"/>
        <v>0</v>
      </c>
      <c r="U101" s="3">
        <f t="shared" si="108"/>
        <v>0</v>
      </c>
      <c r="V101" s="3">
        <f t="shared" si="108"/>
        <v>0</v>
      </c>
      <c r="W101" s="3">
        <f t="shared" si="108"/>
        <v>0</v>
      </c>
      <c r="X101" s="3">
        <f t="shared" si="108"/>
        <v>0</v>
      </c>
      <c r="Y101" s="3">
        <f t="shared" si="108"/>
        <v>0</v>
      </c>
      <c r="Z101" s="3">
        <f t="shared" si="108"/>
        <v>0</v>
      </c>
      <c r="AA101" s="3">
        <f t="shared" si="108"/>
        <v>0</v>
      </c>
      <c r="AB101" s="3">
        <f t="shared" si="108"/>
        <v>0</v>
      </c>
      <c r="AC101" s="3">
        <f t="shared" si="108"/>
        <v>0</v>
      </c>
      <c r="AD101" s="3">
        <f t="shared" si="108"/>
        <v>0</v>
      </c>
      <c r="AE101" s="3">
        <f t="shared" si="108"/>
        <v>0</v>
      </c>
      <c r="AF101" s="3">
        <f t="shared" si="108"/>
        <v>0</v>
      </c>
      <c r="AG101" s="3">
        <f t="shared" si="108"/>
        <v>0</v>
      </c>
      <c r="AH101" s="3">
        <f t="shared" si="108"/>
        <v>0</v>
      </c>
      <c r="AI101" s="3">
        <f t="shared" si="108"/>
        <v>0</v>
      </c>
      <c r="AJ101" s="3">
        <f t="shared" si="108"/>
        <v>0</v>
      </c>
      <c r="AK101" s="3">
        <f t="shared" si="108"/>
        <v>0</v>
      </c>
      <c r="AL101" s="3">
        <f t="shared" si="108"/>
        <v>0</v>
      </c>
      <c r="AM101" s="3">
        <f t="shared" si="108"/>
        <v>0</v>
      </c>
      <c r="AN101" s="3">
        <f t="shared" si="108"/>
        <v>0</v>
      </c>
      <c r="AO101" s="3">
        <f t="shared" si="108"/>
        <v>0</v>
      </c>
      <c r="AP101" s="3">
        <f t="shared" si="108"/>
        <v>0</v>
      </c>
      <c r="AQ101" s="3">
        <f t="shared" si="108"/>
        <v>0</v>
      </c>
      <c r="AR101" s="3">
        <f t="shared" si="108"/>
        <v>0</v>
      </c>
      <c r="AS101" s="3">
        <f t="shared" si="108"/>
        <v>0</v>
      </c>
    </row>
    <row r="102" spans="1:46" x14ac:dyDescent="0.2">
      <c r="A102" s="63" t="s">
        <v>20</v>
      </c>
      <c r="B102" s="63"/>
      <c r="D102" s="34">
        <v>0.15</v>
      </c>
      <c r="G102" s="3"/>
      <c r="H102" s="3"/>
      <c r="I102" s="3"/>
      <c r="J102" s="3"/>
      <c r="K102" s="3">
        <f>'План продаж'!E58*(1-$D$102)</f>
        <v>423047.55</v>
      </c>
      <c r="L102" s="3">
        <f>'План продаж'!F58*(1-$D$102)</f>
        <v>431508.50099999999</v>
      </c>
      <c r="M102" s="3">
        <f>'План продаж'!G58*(1-$D$102)</f>
        <v>440138.67102000001</v>
      </c>
      <c r="N102" s="3">
        <f>'План продаж'!H58*(1-$D$102)</f>
        <v>448941.4444404</v>
      </c>
      <c r="O102" s="3">
        <f>'План продаж'!I58*(1-$D$102)</f>
        <v>457920.27332920802</v>
      </c>
      <c r="P102" s="3">
        <f>'План продаж'!J58*(1-$D$102)</f>
        <v>467078.67879579216</v>
      </c>
      <c r="Q102" s="3">
        <f>'План продаж'!K58*(1-$D$102)</f>
        <v>476420.25237170805</v>
      </c>
      <c r="R102" s="3">
        <f>'План продаж'!L58*(1-$D$102)</f>
        <v>485948.6574191422</v>
      </c>
      <c r="S102" s="3">
        <f>'План продаж'!M58*(1-$D$102)</f>
        <v>495667.63056752511</v>
      </c>
      <c r="T102" s="3">
        <f>'План продаж'!N58*(1-$D$102)</f>
        <v>505580.98317887564</v>
      </c>
      <c r="U102" s="3">
        <f>'План продаж'!O58*(1-$D$102)</f>
        <v>515692.60284245317</v>
      </c>
      <c r="V102" s="3">
        <f>'План продаж'!P58*(1-$D$102)</f>
        <v>526006.45489930222</v>
      </c>
      <c r="W102" s="3">
        <f>'План продаж'!Q58*(1-$D$102)</f>
        <v>536526.58399728825</v>
      </c>
      <c r="X102" s="3">
        <f>'План продаж'!R58*(1-$D$102)</f>
        <v>547257.11567723402</v>
      </c>
      <c r="Y102" s="3">
        <f>'План продаж'!S58*(1-$D$102)</f>
        <v>558202.25799077877</v>
      </c>
      <c r="Z102" s="3">
        <f>'План продаж'!T58*(1-$D$102)</f>
        <v>569366.30315059423</v>
      </c>
      <c r="AA102" s="3">
        <f>'План продаж'!U58*(1-$D$102)</f>
        <v>580753.62921360612</v>
      </c>
      <c r="AB102" s="3">
        <f>'План продаж'!V58*(1-$D$102)</f>
        <v>592368.70179787825</v>
      </c>
      <c r="AC102" s="3">
        <f>'План продаж'!W58*(1-$D$102)</f>
        <v>604216.07583383587</v>
      </c>
      <c r="AD102" s="3">
        <f>'План продаж'!X58*(1-$D$102)</f>
        <v>616300.39735051268</v>
      </c>
      <c r="AE102" s="3">
        <f>'План продаж'!Y58*(1-$D$102)</f>
        <v>628626.40529752278</v>
      </c>
      <c r="AF102" s="3">
        <f>'План продаж'!Z58*(1-$D$102)</f>
        <v>641198.93340347311</v>
      </c>
      <c r="AG102" s="3">
        <f>'План продаж'!AA58*(1-$D$102)</f>
        <v>654022.91207154247</v>
      </c>
      <c r="AH102" s="3">
        <f>'План продаж'!AB58*(1-$D$102)</f>
        <v>667103.37031297339</v>
      </c>
      <c r="AI102" s="3">
        <f>'План продаж'!AC58*(1-$D$102)</f>
        <v>680445.43771923287</v>
      </c>
      <c r="AJ102" s="3">
        <f>'План продаж'!AD58*(1-$D$102)</f>
        <v>694054.3464736176</v>
      </c>
      <c r="AK102" s="3">
        <f>'План продаж'!AE58*(1-$D$102)</f>
        <v>707935.43340309011</v>
      </c>
      <c r="AL102" s="3">
        <f>'План продаж'!AF58*(1-$D$102)</f>
        <v>722094.14207115187</v>
      </c>
      <c r="AM102" s="3">
        <f>'План продаж'!AG58*(1-$D$102)</f>
        <v>736536.02491257479</v>
      </c>
      <c r="AN102" s="3">
        <f>'План продаж'!AH58*(1-$D$102)</f>
        <v>751266.74541082629</v>
      </c>
      <c r="AO102" s="3">
        <f>'План продаж'!AI58*(1-$D$102)</f>
        <v>766292.08031904278</v>
      </c>
      <c r="AP102" s="3">
        <f>'План продаж'!AJ58*(1-$D$102)</f>
        <v>781617.92192542378</v>
      </c>
      <c r="AQ102" s="3">
        <f>'План продаж'!AK58*(1-$D$102)</f>
        <v>797250.28036393214</v>
      </c>
      <c r="AR102" s="3">
        <f>'План продаж'!AL58*(1-$D$102)</f>
        <v>813195.2859712108</v>
      </c>
      <c r="AS102" s="3">
        <f>'План продаж'!AM58*(1-$D$102)</f>
        <v>829459.19169063494</v>
      </c>
      <c r="AT102" s="3">
        <f>'План продаж'!AN58*(1-$D$102)</f>
        <v>0</v>
      </c>
    </row>
    <row r="103" spans="1:46" x14ac:dyDescent="0.2">
      <c r="A103" s="63" t="s">
        <v>21</v>
      </c>
      <c r="B103" s="63"/>
      <c r="D103" s="34"/>
      <c r="F103" s="3">
        <f t="shared" ref="F103:AS103" si="109">E$106*E$8*F$9</f>
        <v>0</v>
      </c>
      <c r="G103" s="3">
        <f t="shared" si="109"/>
        <v>0</v>
      </c>
      <c r="H103" s="3">
        <f t="shared" si="109"/>
        <v>0</v>
      </c>
      <c r="I103" s="3">
        <f t="shared" si="109"/>
        <v>0</v>
      </c>
      <c r="J103" s="3">
        <f t="shared" si="109"/>
        <v>0</v>
      </c>
      <c r="K103" s="3">
        <f t="shared" si="109"/>
        <v>0</v>
      </c>
      <c r="L103" s="3">
        <f t="shared" si="109"/>
        <v>0</v>
      </c>
      <c r="M103" s="3">
        <f t="shared" si="109"/>
        <v>0</v>
      </c>
      <c r="N103" s="3">
        <f t="shared" si="109"/>
        <v>0</v>
      </c>
      <c r="O103" s="3">
        <f t="shared" si="109"/>
        <v>0</v>
      </c>
      <c r="P103" s="3">
        <f t="shared" si="109"/>
        <v>0</v>
      </c>
      <c r="Q103" s="3">
        <f t="shared" si="109"/>
        <v>0</v>
      </c>
      <c r="R103" s="3">
        <f t="shared" si="109"/>
        <v>0</v>
      </c>
      <c r="S103" s="3">
        <f t="shared" si="109"/>
        <v>0</v>
      </c>
      <c r="T103" s="3">
        <f t="shared" si="109"/>
        <v>0</v>
      </c>
      <c r="U103" s="3">
        <f t="shared" si="109"/>
        <v>0</v>
      </c>
      <c r="V103" s="3">
        <f t="shared" si="109"/>
        <v>0</v>
      </c>
      <c r="W103" s="3">
        <f t="shared" si="109"/>
        <v>0</v>
      </c>
      <c r="X103" s="3">
        <f t="shared" si="109"/>
        <v>0</v>
      </c>
      <c r="Y103" s="3">
        <f t="shared" si="109"/>
        <v>0</v>
      </c>
      <c r="Z103" s="3">
        <f t="shared" si="109"/>
        <v>0</v>
      </c>
      <c r="AA103" s="288">
        <f t="shared" si="109"/>
        <v>0</v>
      </c>
      <c r="AB103" s="3">
        <f t="shared" si="109"/>
        <v>0</v>
      </c>
      <c r="AC103" s="3">
        <f t="shared" si="109"/>
        <v>0</v>
      </c>
      <c r="AD103" s="3">
        <f t="shared" si="109"/>
        <v>0</v>
      </c>
      <c r="AE103" s="3">
        <f t="shared" si="109"/>
        <v>0</v>
      </c>
      <c r="AF103" s="3">
        <f t="shared" si="109"/>
        <v>0</v>
      </c>
      <c r="AG103" s="3">
        <f t="shared" si="109"/>
        <v>0</v>
      </c>
      <c r="AH103" s="3">
        <f t="shared" si="109"/>
        <v>0</v>
      </c>
      <c r="AI103" s="3">
        <f t="shared" si="109"/>
        <v>0</v>
      </c>
      <c r="AJ103" s="3">
        <f t="shared" si="109"/>
        <v>0</v>
      </c>
      <c r="AK103" s="3">
        <f t="shared" si="109"/>
        <v>0</v>
      </c>
      <c r="AL103" s="3">
        <f t="shared" si="109"/>
        <v>0</v>
      </c>
      <c r="AM103" s="3">
        <f t="shared" si="109"/>
        <v>0</v>
      </c>
      <c r="AN103" s="3">
        <f t="shared" si="109"/>
        <v>0</v>
      </c>
      <c r="AO103" s="3">
        <f t="shared" si="109"/>
        <v>0</v>
      </c>
      <c r="AP103" s="3">
        <f t="shared" si="109"/>
        <v>0</v>
      </c>
      <c r="AQ103" s="3">
        <f t="shared" si="109"/>
        <v>0</v>
      </c>
      <c r="AR103" s="3">
        <f t="shared" si="109"/>
        <v>0</v>
      </c>
      <c r="AS103" s="3">
        <f t="shared" si="109"/>
        <v>0</v>
      </c>
    </row>
    <row r="104" spans="1:46" x14ac:dyDescent="0.2">
      <c r="A104" s="63" t="s">
        <v>22</v>
      </c>
      <c r="B104" s="63"/>
      <c r="D104" s="34"/>
      <c r="F104" s="3"/>
      <c r="G104" s="3"/>
      <c r="H104" s="3"/>
      <c r="I104" s="3">
        <f>H$8*I$9*SUM('План продаж'!A59:AI59)</f>
        <v>0</v>
      </c>
      <c r="J104" s="3">
        <f>I$8*J$9*SUM('План продаж'!B59:AJ59)</f>
        <v>0</v>
      </c>
      <c r="K104" s="3">
        <f>J$8*K$9*SUM('План продаж'!C59:AK59)</f>
        <v>0</v>
      </c>
      <c r="L104" s="3">
        <f>K$8*L$9*SUM('План продаж'!D59:AL59)</f>
        <v>0</v>
      </c>
      <c r="M104" s="3">
        <f>L$8*M$9*SUM('План продаж'!E59:AM59)</f>
        <v>0</v>
      </c>
      <c r="N104" s="3">
        <f>M$8*N$9*SUM('План продаж'!F59:AN59)</f>
        <v>0</v>
      </c>
      <c r="O104" s="3">
        <f>N$8*O$9*SUM('План продаж'!G59:AO59)</f>
        <v>0</v>
      </c>
      <c r="P104" s="3">
        <f>O$8*P$9*SUM('План продаж'!H59:AP59)</f>
        <v>0</v>
      </c>
      <c r="Q104" s="3">
        <f>P$8*Q$9*SUM('План продаж'!I59:AQ59)</f>
        <v>0</v>
      </c>
      <c r="R104" s="3">
        <f>Q$8*R$9*SUM('План продаж'!J59:AR59)</f>
        <v>0</v>
      </c>
      <c r="S104" s="3">
        <f>R$8*S$9*SUM('План продаж'!K59:AS59)</f>
        <v>0</v>
      </c>
      <c r="T104" s="3">
        <f>S$8*T$9*SUM('План продаж'!L59:AT59)</f>
        <v>0</v>
      </c>
      <c r="U104" s="3">
        <f>T$8*U$9*SUM('План продаж'!M59:AU59)</f>
        <v>0</v>
      </c>
      <c r="V104" s="3">
        <f>U$8*V$9*SUM('План продаж'!N59:AV59)</f>
        <v>0</v>
      </c>
      <c r="W104" s="3">
        <f>V$8*W$9*SUM('План продаж'!O59:AW59)</f>
        <v>0</v>
      </c>
      <c r="X104" s="3">
        <f>W$8*X$9*SUM('План продаж'!P59:AX59)</f>
        <v>0</v>
      </c>
      <c r="Y104" s="3">
        <f>X$8*Y$9*SUM('План продаж'!Q59:AY59)</f>
        <v>0</v>
      </c>
      <c r="Z104" s="3">
        <f>Y$8*Z$9*SUM('План продаж'!R59:AZ59)</f>
        <v>0</v>
      </c>
      <c r="AA104" s="3">
        <f>Z$8*AA$9*SUM('План продаж'!S59:BA59)</f>
        <v>0</v>
      </c>
      <c r="AB104" s="3">
        <f>AA$8*AB$9*SUM('План продаж'!T59:BB59)</f>
        <v>0</v>
      </c>
      <c r="AC104" s="3">
        <f>AB$8*AC$9*SUM('План продаж'!U59:BC59)</f>
        <v>0</v>
      </c>
      <c r="AD104" s="3">
        <f>AC$8*AD$9*SUM('План продаж'!V59:BD59)</f>
        <v>0</v>
      </c>
      <c r="AE104" s="3">
        <f>AD$8*AE$9*SUM('План продаж'!W59:BE59)</f>
        <v>0</v>
      </c>
      <c r="AF104" s="3">
        <f>AE$8*AF$9*SUM('План продаж'!X59:BF59)</f>
        <v>0</v>
      </c>
      <c r="AG104" s="3">
        <f>AF$8*AG$9*SUM('План продаж'!Y59:BG59)</f>
        <v>0</v>
      </c>
      <c r="AH104" s="3">
        <f>AG$8*AH$9*SUM('План продаж'!Z59:BH59)</f>
        <v>0</v>
      </c>
      <c r="AI104" s="3">
        <f>AH$8*AI$9*SUM('План продаж'!AA59:BI59)</f>
        <v>0</v>
      </c>
      <c r="AJ104" s="3">
        <f>AI$8*AJ$9*SUM('План продаж'!AB59:BJ59)</f>
        <v>0</v>
      </c>
      <c r="AK104" s="3">
        <f>AJ$8*AK$9*SUM('План продаж'!AC59:BK59)</f>
        <v>0</v>
      </c>
      <c r="AL104" s="3">
        <f>AK$8*AL$9*SUM('План продаж'!AD59:BL59)</f>
        <v>0</v>
      </c>
      <c r="AM104" s="3">
        <f>AL$8*AM$9*SUM('План продаж'!AE59:BM59)</f>
        <v>0</v>
      </c>
      <c r="AN104" s="3">
        <f>AM$8*AN$9*SUM('План продаж'!AF59:BN59)</f>
        <v>0</v>
      </c>
      <c r="AO104" s="3">
        <f>AN$8*AO$9*SUM('План продаж'!AG59:BO59)</f>
        <v>0</v>
      </c>
      <c r="AP104" s="3">
        <f>AO$8*AP$9*SUM('План продаж'!AH59:BP59)</f>
        <v>0</v>
      </c>
      <c r="AQ104" s="3">
        <f>AP$8*AQ$9*SUM('План продаж'!AI59:BQ59)</f>
        <v>0</v>
      </c>
      <c r="AR104" s="3">
        <f>AQ$8*AR$9*SUM('План продаж'!AJ59:BR59)</f>
        <v>0</v>
      </c>
      <c r="AS104" s="3">
        <f>AR$8*AS$9*SUM('План продаж'!AK59:BS59)</f>
        <v>0</v>
      </c>
    </row>
    <row r="105" spans="1:46" x14ac:dyDescent="0.2">
      <c r="A105" s="61" t="s">
        <v>108</v>
      </c>
      <c r="B105" s="61"/>
      <c r="D105" s="34"/>
      <c r="G105" s="3"/>
      <c r="H105" s="3"/>
      <c r="I105" s="3"/>
      <c r="J105" s="3"/>
      <c r="K105" s="3"/>
      <c r="L105" s="3"/>
      <c r="M105" s="3">
        <f>-MIN('План продаж'!E59:S59)*F9</f>
        <v>0</v>
      </c>
      <c r="N105" s="3">
        <f>-MIN('План продаж'!F59:T59)*G9</f>
        <v>0</v>
      </c>
      <c r="O105" s="3">
        <f>-MIN('План продаж'!G59:U59)*H9</f>
        <v>0</v>
      </c>
      <c r="P105" s="3">
        <f>-MIN('План продаж'!H59:V59)*I9</f>
        <v>0</v>
      </c>
      <c r="Q105" s="3">
        <f>-MIN('План продаж'!I59:W59)*J9</f>
        <v>0</v>
      </c>
      <c r="R105" s="3">
        <f>-MIN('План продаж'!J59:X59)*K9</f>
        <v>0</v>
      </c>
      <c r="S105" s="3">
        <f>-MIN('План продаж'!K59:Y59)*L9</f>
        <v>0</v>
      </c>
      <c r="T105" s="3">
        <f>-MIN('План продаж'!L59:Z59)*M9</f>
        <v>0</v>
      </c>
      <c r="U105" s="3">
        <f>-MIN('План продаж'!M59:AA59)*N9</f>
        <v>0</v>
      </c>
      <c r="V105" s="3">
        <f>-MIN('План продаж'!N59:AB59)*O9</f>
        <v>0</v>
      </c>
      <c r="W105" s="3">
        <f>-MIN('План продаж'!O59:AC59)*P9</f>
        <v>0</v>
      </c>
      <c r="X105" s="3">
        <f>-MIN('План продаж'!P59:AD59)*Q9</f>
        <v>0</v>
      </c>
      <c r="Y105" s="3">
        <f>-MIN('План продаж'!Q59:AE59)*R9</f>
        <v>0</v>
      </c>
      <c r="Z105" s="3">
        <f>-MIN('План продаж'!R59:AF59)*S9</f>
        <v>0</v>
      </c>
      <c r="AA105" s="3">
        <f>-MIN('План продаж'!S59:AG59)*T9</f>
        <v>0</v>
      </c>
      <c r="AB105" s="3">
        <f>-MIN('План продаж'!T59:AH59)*U9</f>
        <v>0</v>
      </c>
      <c r="AC105" s="3">
        <f>-MIN('План продаж'!U59:AI59)*V9</f>
        <v>0</v>
      </c>
      <c r="AD105" s="3">
        <f>-MIN('План продаж'!V59:AJ59)*W9</f>
        <v>0</v>
      </c>
      <c r="AE105" s="3">
        <f>-MIN('План продаж'!W59:AK59)*X9</f>
        <v>0</v>
      </c>
      <c r="AF105" s="3">
        <f>-MIN('План продаж'!X59:AL59)*Y9</f>
        <v>0</v>
      </c>
      <c r="AG105" s="3">
        <f>-MIN('План продаж'!Y59:AM59)*Z9</f>
        <v>0</v>
      </c>
      <c r="AH105" s="3">
        <f>-MIN('План продаж'!Z59:AN59)*AA9</f>
        <v>0</v>
      </c>
      <c r="AI105" s="3">
        <f>-MIN('План продаж'!AA59:AO59)*AB9</f>
        <v>0</v>
      </c>
      <c r="AJ105" s="3">
        <f>-MIN('План продаж'!AB59:AP59)*AC9</f>
        <v>0</v>
      </c>
      <c r="AK105" s="3">
        <f>-MIN('План продаж'!AC59:AQ59)*AD9</f>
        <v>0</v>
      </c>
      <c r="AL105" s="3">
        <f>-MIN('План продаж'!AD59:AR59)*AE9</f>
        <v>0</v>
      </c>
      <c r="AM105" s="3">
        <f>-MIN('План продаж'!AE59:AS59)*AF9</f>
        <v>0</v>
      </c>
      <c r="AN105" s="3">
        <f>-MIN('План продаж'!AF59:AT59)*AG9</f>
        <v>0</v>
      </c>
      <c r="AO105" s="3">
        <f>-MIN('План продаж'!AG59:AU59)*AH9</f>
        <v>0</v>
      </c>
      <c r="AP105" s="3">
        <f>-MIN('План продаж'!AH59:AV59)*AI9</f>
        <v>0</v>
      </c>
      <c r="AQ105" s="3">
        <f>-MIN('План продаж'!AI59:AW59)*AJ9</f>
        <v>0</v>
      </c>
      <c r="AR105" s="3">
        <f>-MIN('План продаж'!AJ59:AX59)*AK9</f>
        <v>0</v>
      </c>
      <c r="AS105" s="3">
        <f>-MIN('План продаж'!AK59:AY59)*AL9</f>
        <v>0</v>
      </c>
    </row>
    <row r="106" spans="1:46" ht="15.75" x14ac:dyDescent="0.25">
      <c r="A106" s="31" t="s">
        <v>13</v>
      </c>
      <c r="B106" s="31"/>
      <c r="F106" s="3">
        <f t="shared" ref="F106:AS106" si="110">F97+F98+F99</f>
        <v>0</v>
      </c>
      <c r="G106" s="3">
        <f>G97+G98+G99</f>
        <v>0</v>
      </c>
      <c r="H106" s="3">
        <f t="shared" si="110"/>
        <v>0</v>
      </c>
      <c r="I106" s="3">
        <f t="shared" si="110"/>
        <v>0</v>
      </c>
      <c r="J106" s="3">
        <f t="shared" si="110"/>
        <v>0</v>
      </c>
      <c r="K106" s="3">
        <f t="shared" si="110"/>
        <v>0</v>
      </c>
      <c r="L106" s="3">
        <f t="shared" si="110"/>
        <v>0</v>
      </c>
      <c r="M106" s="3">
        <f t="shared" si="110"/>
        <v>0</v>
      </c>
      <c r="N106" s="3">
        <f t="shared" si="110"/>
        <v>0</v>
      </c>
      <c r="O106" s="3">
        <f t="shared" si="110"/>
        <v>0</v>
      </c>
      <c r="P106" s="3">
        <f t="shared" si="110"/>
        <v>0</v>
      </c>
      <c r="Q106" s="3">
        <f t="shared" si="110"/>
        <v>0</v>
      </c>
      <c r="R106" s="3">
        <f t="shared" si="110"/>
        <v>0</v>
      </c>
      <c r="S106" s="3">
        <f t="shared" si="110"/>
        <v>0</v>
      </c>
      <c r="T106" s="3">
        <f t="shared" si="110"/>
        <v>0</v>
      </c>
      <c r="U106" s="3">
        <f t="shared" si="110"/>
        <v>0</v>
      </c>
      <c r="V106" s="3">
        <f t="shared" si="110"/>
        <v>0</v>
      </c>
      <c r="W106" s="3">
        <f t="shared" si="110"/>
        <v>0</v>
      </c>
      <c r="X106" s="3">
        <f t="shared" si="110"/>
        <v>0</v>
      </c>
      <c r="Y106" s="3">
        <f t="shared" si="110"/>
        <v>0</v>
      </c>
      <c r="Z106" s="3">
        <f t="shared" si="110"/>
        <v>0</v>
      </c>
      <c r="AA106" s="288">
        <f t="shared" si="110"/>
        <v>0</v>
      </c>
      <c r="AB106" s="3">
        <f t="shared" si="110"/>
        <v>0</v>
      </c>
      <c r="AC106" s="3">
        <f t="shared" si="110"/>
        <v>0</v>
      </c>
      <c r="AD106" s="3">
        <f t="shared" si="110"/>
        <v>0</v>
      </c>
      <c r="AE106" s="3">
        <f t="shared" si="110"/>
        <v>0</v>
      </c>
      <c r="AF106" s="3">
        <f t="shared" si="110"/>
        <v>0</v>
      </c>
      <c r="AG106" s="3">
        <f t="shared" si="110"/>
        <v>0</v>
      </c>
      <c r="AH106" s="3">
        <f t="shared" si="110"/>
        <v>0</v>
      </c>
      <c r="AI106" s="3">
        <f t="shared" si="110"/>
        <v>0</v>
      </c>
      <c r="AJ106" s="3">
        <f t="shared" si="110"/>
        <v>0</v>
      </c>
      <c r="AK106" s="3">
        <f t="shared" si="110"/>
        <v>0</v>
      </c>
      <c r="AL106" s="3">
        <f t="shared" si="110"/>
        <v>0</v>
      </c>
      <c r="AM106" s="3">
        <f t="shared" si="110"/>
        <v>0</v>
      </c>
      <c r="AN106" s="3">
        <f t="shared" si="110"/>
        <v>0</v>
      </c>
      <c r="AO106" s="3">
        <f t="shared" si="110"/>
        <v>0</v>
      </c>
      <c r="AP106" s="3">
        <f t="shared" si="110"/>
        <v>0</v>
      </c>
      <c r="AQ106" s="3">
        <f t="shared" si="110"/>
        <v>0</v>
      </c>
      <c r="AR106" s="3">
        <f t="shared" si="110"/>
        <v>0</v>
      </c>
      <c r="AS106" s="3">
        <f t="shared" si="110"/>
        <v>0</v>
      </c>
    </row>
    <row r="107" spans="1:46" s="422" customFormat="1" x14ac:dyDescent="0.2">
      <c r="A107" s="418" t="s">
        <v>15</v>
      </c>
      <c r="B107" s="418"/>
      <c r="C107" s="419">
        <f t="shared" ref="C107:C112" si="111">SUM(F107:AS107)</f>
        <v>-14386244380.858557</v>
      </c>
      <c r="D107" s="420"/>
      <c r="E107" s="420"/>
      <c r="F107" s="421">
        <f>(AVERAGE(F97,F97+F98)+E107)*F125*F3/365</f>
        <v>-140969221.29787251</v>
      </c>
      <c r="G107" s="421">
        <f t="shared" ref="G107:H107" si="112">(AVERAGE(G97,G97+G98)+F107)*G125*G3/365</f>
        <v>-603180499.82900083</v>
      </c>
      <c r="H107" s="421">
        <f t="shared" si="112"/>
        <v>-462849771.28786337</v>
      </c>
      <c r="I107" s="421">
        <f>(AVERAGE(I97,I97+I98)+H107)*I125*I3/365</f>
        <v>-340956054.50419974</v>
      </c>
      <c r="J107" s="421">
        <f t="shared" ref="J107:AS107" si="113">(AVERAGE(J97,J97+J98)+I107)*J125*J3/365</f>
        <v>-284593915.1467067</v>
      </c>
      <c r="K107" s="421">
        <f t="shared" si="113"/>
        <v>-434046285.73122656</v>
      </c>
      <c r="L107" s="421">
        <f t="shared" si="113"/>
        <v>-367857076.06221867</v>
      </c>
      <c r="M107" s="421">
        <f t="shared" si="113"/>
        <v>-541673060.70453489</v>
      </c>
      <c r="N107" s="421">
        <f t="shared" si="113"/>
        <v>-567283261.30577707</v>
      </c>
      <c r="O107" s="421">
        <f t="shared" si="113"/>
        <v>-460240314.43417484</v>
      </c>
      <c r="P107" s="421">
        <f t="shared" si="113"/>
        <v>-542000420.92373776</v>
      </c>
      <c r="Q107" s="421">
        <f t="shared" si="113"/>
        <v>-740015584.20827484</v>
      </c>
      <c r="R107" s="421">
        <f t="shared" si="113"/>
        <v>-792547970.24883258</v>
      </c>
      <c r="S107" s="421">
        <f t="shared" si="113"/>
        <v>-865637733.87651289</v>
      </c>
      <c r="T107" s="421">
        <f t="shared" si="113"/>
        <v>-903921061.86195505</v>
      </c>
      <c r="U107" s="421">
        <f t="shared" si="113"/>
        <v>-875761246.6656611</v>
      </c>
      <c r="V107" s="421">
        <f t="shared" si="113"/>
        <v>-899362453.08581543</v>
      </c>
      <c r="W107" s="421">
        <f t="shared" si="113"/>
        <v>-1085338986.4441614</v>
      </c>
      <c r="X107" s="421">
        <f t="shared" si="113"/>
        <v>-1130562770.6769793</v>
      </c>
      <c r="Y107" s="421">
        <f t="shared" si="113"/>
        <v>-1015950628.3151163</v>
      </c>
      <c r="Z107" s="421">
        <f t="shared" si="113"/>
        <v>-929679962.20471942</v>
      </c>
      <c r="AA107" s="421">
        <f t="shared" si="113"/>
        <v>-310499485.46487319</v>
      </c>
      <c r="AB107" s="421">
        <f t="shared" si="113"/>
        <v>-86715773.142241031</v>
      </c>
      <c r="AC107" s="421">
        <f t="shared" si="113"/>
        <v>-4371425.2762116026</v>
      </c>
      <c r="AD107" s="421">
        <f t="shared" si="113"/>
        <v>-217972.43843027717</v>
      </c>
      <c r="AE107" s="421">
        <f t="shared" si="113"/>
        <v>-10868.762683372724</v>
      </c>
      <c r="AF107" s="421">
        <f t="shared" si="113"/>
        <v>-547.9047489700223</v>
      </c>
      <c r="AG107" s="421">
        <f t="shared" si="113"/>
        <v>-27.620403783694275</v>
      </c>
      <c r="AH107" s="421">
        <f t="shared" si="113"/>
        <v>-1.3621021044013615</v>
      </c>
      <c r="AI107" s="421">
        <f t="shared" si="113"/>
        <v>-6.7918515890698028E-2</v>
      </c>
      <c r="AJ107" s="421">
        <f t="shared" si="113"/>
        <v>-3.4238375133940928E-3</v>
      </c>
      <c r="AK107" s="421">
        <f t="shared" si="113"/>
        <v>-1.7259893218205839E-4</v>
      </c>
      <c r="AL107" s="421">
        <f t="shared" si="113"/>
        <v>-8.5117281624028807E-6</v>
      </c>
      <c r="AM107" s="421">
        <f t="shared" si="113"/>
        <v>-4.2442041796091077E-7</v>
      </c>
      <c r="AN107" s="421">
        <f t="shared" si="113"/>
        <v>-2.1395440247892492E-8</v>
      </c>
      <c r="AO107" s="421">
        <f t="shared" si="113"/>
        <v>-1.0785646590718406E-9</v>
      </c>
      <c r="AP107" s="421">
        <f t="shared" si="113"/>
        <v>-5.3189490036419543E-11</v>
      </c>
      <c r="AQ107" s="421">
        <f t="shared" si="113"/>
        <v>-2.6521882703091392E-12</v>
      </c>
      <c r="AR107" s="421">
        <f t="shared" si="113"/>
        <v>-1.3369935390051551E-13</v>
      </c>
      <c r="AS107" s="421">
        <f t="shared" si="113"/>
        <v>-6.7399126349848916E-15</v>
      </c>
    </row>
    <row r="108" spans="1:46" x14ac:dyDescent="0.2">
      <c r="A108" s="47" t="s">
        <v>16</v>
      </c>
      <c r="B108" s="47"/>
      <c r="C108" s="52">
        <f t="shared" si="111"/>
        <v>-14381643537.422455</v>
      </c>
      <c r="F108" s="3">
        <f>SUM($F$107:F107)*IF(F93&lt;0,1,0)</f>
        <v>0</v>
      </c>
      <c r="G108" s="3">
        <f>SUM($F$107:G107)*IF(G93&lt;0,1,0)</f>
        <v>0</v>
      </c>
      <c r="H108" s="3">
        <f>SUM($F$107:H107)*IF(H93&lt;0,1,0)</f>
        <v>0</v>
      </c>
      <c r="I108" s="3">
        <f>SUM($F$107:I107)*IF(I93&lt;0,1,0)</f>
        <v>0</v>
      </c>
      <c r="J108" s="3">
        <f>SUM($F$107:J107)*IF(J93&lt;0,1,0)</f>
        <v>0</v>
      </c>
      <c r="K108" s="3">
        <f>SUM($F$107:K107)*IF(K93&lt;0,1,0)</f>
        <v>0</v>
      </c>
      <c r="L108" s="3">
        <f>SUM($F$107:L107)*IF(L93&lt;0,1,0)</f>
        <v>0</v>
      </c>
      <c r="M108" s="3">
        <f>SUM($F$107:M107)*IF(M93&lt;0,1,0)</f>
        <v>0</v>
      </c>
      <c r="N108" s="3">
        <f>SUM($F$107:N107)*IF(N93&lt;0,1,0)</f>
        <v>0</v>
      </c>
      <c r="O108" s="3">
        <f>SUM($F$107:O107)*IF(O93&lt;0,1,0)</f>
        <v>0</v>
      </c>
      <c r="P108" s="3">
        <f>SUM($F$107:P107)*IF(P93&lt;0,1,0)</f>
        <v>0</v>
      </c>
      <c r="Q108" s="3">
        <f>SUM($F$107:Q107)*IF(Q93&lt;0,1,0)</f>
        <v>0</v>
      </c>
      <c r="R108" s="3">
        <f>SUM($F$107:R107)*IF(R93&lt;0,1,0)</f>
        <v>0</v>
      </c>
      <c r="S108" s="3">
        <f>SUM($F$107:S107)*IF(S93&lt;0,1,0)</f>
        <v>0</v>
      </c>
      <c r="T108" s="3">
        <f>SUM($F$107:T107)*IF(T93&lt;0,1,0)</f>
        <v>0</v>
      </c>
      <c r="U108" s="3">
        <f>SUM($F$107:U107)*IF(U93&lt;0,1,0)</f>
        <v>0</v>
      </c>
      <c r="V108" s="3">
        <f>SUM($F$107:V107)*IF(V93&lt;0,1,0)</f>
        <v>0</v>
      </c>
      <c r="W108" s="3">
        <f>SUM($F$107:W107)*IF(W93&lt;0,1,0)</f>
        <v>0</v>
      </c>
      <c r="X108" s="3">
        <f>SUM($F$107:X107)*IF(X93&lt;0,1,0)</f>
        <v>0</v>
      </c>
      <c r="Y108" s="3">
        <f>SUM($F$107:Y107)*IF(Y93&lt;0,1,0)</f>
        <v>0</v>
      </c>
      <c r="Z108" s="3">
        <f>SUM($F$107:Z107)*IF(Z93&lt;0,1,0)</f>
        <v>0</v>
      </c>
      <c r="AA108" s="288">
        <f>SUM($F$107:AA107)*IF(AA93&lt;0,1,0)</f>
        <v>0</v>
      </c>
      <c r="AB108" s="3">
        <f>SUM($F$107:AB107)*IF(AB93&lt;0,1,0)</f>
        <v>-14381643537.422455</v>
      </c>
      <c r="AC108" s="3">
        <f>SUM($F$107:AC107)*IF(AC93&lt;0,1,0)</f>
        <v>0</v>
      </c>
      <c r="AD108" s="3">
        <f>SUM($F$107:AD107)*IF(AD93&lt;0,1,0)</f>
        <v>0</v>
      </c>
      <c r="AE108" s="3">
        <f>SUM($F$107:AE107)*IF(AE93&lt;0,1,0)</f>
        <v>0</v>
      </c>
      <c r="AF108" s="3">
        <f>SUM($F$107:AF107)*IF(AF93&lt;0,1,0)</f>
        <v>0</v>
      </c>
      <c r="AG108" s="3">
        <f>SUM($F$107:AG107)*IF(AG93&lt;0,1,0)</f>
        <v>0</v>
      </c>
      <c r="AH108" s="3">
        <f>SUM($F$107:AH107)*IF(AH93&lt;0,1,0)</f>
        <v>0</v>
      </c>
      <c r="AI108" s="3">
        <f>SUM($F$107:AI107)*IF(AI93&lt;0,1,0)</f>
        <v>0</v>
      </c>
      <c r="AJ108" s="3">
        <f>SUM($F$107:AJ107)*IF(AJ93&lt;0,1,0)</f>
        <v>0</v>
      </c>
      <c r="AK108" s="3">
        <f>SUM($F$107:AK107)*IF(AK93&lt;0,1,0)</f>
        <v>0</v>
      </c>
      <c r="AL108" s="3">
        <f>SUM($F$107:AL107)*IF(AL93&lt;0,1,0)</f>
        <v>0</v>
      </c>
      <c r="AM108" s="3">
        <f>SUM($F$107:AM107)*IF(AM93&lt;0,1,0)</f>
        <v>0</v>
      </c>
      <c r="AN108" s="3">
        <f>SUM($F$107:AN107)*IF(AN93&lt;0,1,0)</f>
        <v>0</v>
      </c>
      <c r="AO108" s="3">
        <f>SUM($F$107:AO107)*IF(AO93&lt;0,1,0)</f>
        <v>0</v>
      </c>
      <c r="AP108" s="3">
        <f>SUM($F$107:AP107)*IF(AP93&lt;0,1,0)</f>
        <v>0</v>
      </c>
      <c r="AQ108" s="3">
        <f>SUM($F$107:AQ107)*IF(AQ93&lt;0,1,0)</f>
        <v>0</v>
      </c>
      <c r="AR108" s="3">
        <f>SUM($F$107:AR107)*IF(AR93&lt;0,1,0)</f>
        <v>0</v>
      </c>
      <c r="AS108" s="3">
        <f>SUM($F$107:AS107)*IF(AS93&lt;0,1,0)</f>
        <v>0</v>
      </c>
    </row>
    <row r="109" spans="1:46" x14ac:dyDescent="0.2">
      <c r="A109" s="47" t="s">
        <v>17</v>
      </c>
      <c r="B109" s="47"/>
      <c r="C109" s="52">
        <f t="shared" si="111"/>
        <v>0</v>
      </c>
      <c r="F109" s="3">
        <f>MIN(MAX(-F93*(1+$D$92)+F95+F18+F84+F85,0),(SUM($E$107:F107)-SUM($E$108:F108)-SUM($E$109:E109)))*F9</f>
        <v>0</v>
      </c>
      <c r="G109" s="3">
        <f>MIN(MAX(-G93*(1+$D$92)+G95+G18+G84+G85,0),(SUM($E$107:G107)-SUM($E$108:G108)-SUM($E$109:F109)))*G9</f>
        <v>0</v>
      </c>
      <c r="H109" s="3">
        <f>MIN(MAX(-H93*(1+$D$92)+H95+H18+H84+H85,0),(SUM($E$107:H107)-SUM($E$108:H108)-SUM($E$109:G109)))*H9</f>
        <v>0</v>
      </c>
      <c r="I109" s="3">
        <f>MIN(MAX(-I93*(1+$D$92)+I95+I18+I84+I85,0),(SUM($E$107:I107)-SUM($E$108:I108)-SUM($E$109:H109)))*I9</f>
        <v>0</v>
      </c>
      <c r="J109" s="3">
        <f>MIN(MAX(-J93*(1+$D$92)+J95+J18+J84+J85,0),(SUM($E$107:J107)-SUM($E$108:J108)-SUM($E$109:I109)))*J9</f>
        <v>0</v>
      </c>
      <c r="K109" s="3">
        <f>MIN(MAX(-K93*(1+$D$92)+K95+K18+K84+K85,0),(SUM($E$107:K107)-SUM($E$108:K108)-SUM($E$109:J109)))*K9</f>
        <v>0</v>
      </c>
      <c r="L109" s="3">
        <f>MIN(MAX(-L93*(1+$D$92)+L95+L18+L84+L85,0),(SUM($E$107:L107)-SUM($E$108:L108)-SUM($E$109:K109)))*L9</f>
        <v>0</v>
      </c>
      <c r="M109" s="3">
        <f>MIN(MAX(-M93*(1+$D$92)+M95+M18+M84+M85,0),(SUM($E$107:M107)-SUM($E$108:M108)-SUM($E$109:L109)))*M9</f>
        <v>0</v>
      </c>
      <c r="N109" s="3">
        <f>MIN(MAX(-N93*(1+$D$92)+N95+N18+N84+N85,0),(SUM($E$107:N107)-SUM($E$108:N108)-SUM($E$109:M109)))*N9</f>
        <v>0</v>
      </c>
      <c r="O109" s="3">
        <f>MIN(MAX(-O93*(1+$D$92)+O95+O18+O84+O85,0),(SUM($E$107:O107)-SUM($E$108:O108)-SUM($E$109:N109)))*O9</f>
        <v>0</v>
      </c>
      <c r="P109" s="3">
        <f>MIN(MAX(-P93*(1+$D$92)+P95+P18+P84+P85,0),(SUM($E$107:P107)-SUM($E$108:P108)-SUM($E$109:O109)))*P9</f>
        <v>0</v>
      </c>
      <c r="Q109" s="3">
        <f>MIN(MAX(-Q93*(1+$D$92)+Q95+Q18+Q84+Q85,0),(SUM($E$107:Q107)-SUM($E$108:Q108)-SUM($E$109:P109)))*Q9</f>
        <v>0</v>
      </c>
      <c r="R109" s="3">
        <f>MIN(MAX(-R93*(1+$D$92)+R95+R18+R84+R85,0),(SUM($E$107:R107)-SUM($E$108:R108)-SUM($E$109:Q109)))*R9</f>
        <v>0</v>
      </c>
      <c r="S109" s="3">
        <f>MIN(MAX(-S93*(1+$D$92)+S95+S18+S84+S85,0),(SUM($E$107:S107)-SUM($E$108:S108)-SUM($E$109:R109)))*S9</f>
        <v>0</v>
      </c>
      <c r="T109" s="3">
        <f>MIN(MAX(-T93*(1+$D$92)+T95+T18+T84+T85,0),(SUM($E$107:T107)-SUM($E$108:T108)-SUM($E$109:S109)))*T9</f>
        <v>0</v>
      </c>
      <c r="U109" s="3">
        <f>MIN(MAX(-U93*(1+$D$92)+U95+U18+U84+U85,0),(SUM($E$107:U107)-SUM($E$108:U108)-SUM($E$109:T109)))*U9</f>
        <v>0</v>
      </c>
      <c r="V109" s="3">
        <f>MIN(MAX(-V93*(1+$D$92)+V95+V18+V84+V85,0),(SUM($E$107:V107)-SUM($E$108:V108)-SUM($E$109:U109)))*V9</f>
        <v>0</v>
      </c>
      <c r="W109" s="3">
        <f>MIN(MAX(-W93*(1+$D$92)+W95+W18+W84+W85,0),(SUM($E$107:W107)-SUM($E$108:W108)-SUM($E$109:V109)))*W9</f>
        <v>0</v>
      </c>
      <c r="X109" s="3">
        <f>MIN(MAX(-X93*(1+$D$92)+X95+X18+X84+X85,0),(SUM($E$107:X107)-SUM($E$108:X108)-SUM($E$109:W109)))*X9</f>
        <v>0</v>
      </c>
      <c r="Y109" s="3">
        <f>MIN(MAX(-Y93*(1+$D$92)+Y95+Y18+Y84+Y85,0),(SUM($E$107:Y107)-SUM($E$108:Y108)-SUM($E$109:X109)))*Y9</f>
        <v>0</v>
      </c>
      <c r="Z109" s="3">
        <f>MIN(MAX(-Z93*(1+$D$92)+Z95+Z18+Z84+Z85,0),(SUM($E$107:Z107)-SUM($E$108:Z108)-SUM($E$109:Y109)))*Z9</f>
        <v>0</v>
      </c>
      <c r="AA109" s="288">
        <f>MIN(MAX(-AA93*(1+$D$92)+AA95+AA18+AA84+AB85,0),(SUM($E$107:AA107)-SUM($E$108:AA108)-SUM($E$109:Z109)))*AA9</f>
        <v>0</v>
      </c>
      <c r="AB109" s="288">
        <f>MIN(MAX(-AB93*(1+$D$92)+AB95+AB18+AB84+AC85,0),(SUM($E$107:AB107)-SUM($E$108:AB108)-SUM($E$109:AA109)))*AB9</f>
        <v>0</v>
      </c>
      <c r="AC109" s="3">
        <f>MIN(MAX(-AC93*(1+$D$92)+AC95+AC18+AC84+AC85,0),(SUM($E$107:AC107)-SUM($E$108:AC108)-SUM($E$109:AB109)))*AC9</f>
        <v>0</v>
      </c>
      <c r="AD109" s="3">
        <f>MIN(MAX(-AD93*(1+$D$92)+AD95+AD18+AD84+AD85,0),(SUM($E$107:AD107)-SUM($E$108:AD108)-SUM($E$109:AC109)))*AD9</f>
        <v>0</v>
      </c>
      <c r="AE109" s="3">
        <f>MIN(MAX(-AE93*(1+$D$92)+AE95+AE18+AE84+AE85,0),(SUM($E$107:AE107)-SUM($E$108:AE108)-SUM($E$109:AD109)))*AE9</f>
        <v>0</v>
      </c>
      <c r="AF109" s="3">
        <f>MIN(MAX(-AF93*(1+$D$92)+AF95+AF18+AF84+AF85,0),(SUM($E$107:AF107)-SUM($E$108:AF108)-SUM($E$109:AE109)))*AF9</f>
        <v>0</v>
      </c>
      <c r="AG109" s="3">
        <f>MIN(MAX(-AG93*(1+$D$92)+AG95+AG18+AG84+AG85,0),(SUM($E$107:AG107)-SUM($E$108:AG108)-SUM($E$109:AF109)))*AG9</f>
        <v>0</v>
      </c>
      <c r="AH109" s="3">
        <f>MIN(MAX(-AH93*(1+$D$92)+AH95+AH18+AH84+AH85,0),(SUM($E$107:AH107)-SUM($E$108:AH108)-SUM($E$109:AG109)))*AH9</f>
        <v>0</v>
      </c>
      <c r="AI109" s="3">
        <f>MIN(MAX(-AI93*(1+$D$92)+AI95+AI18+AI84+AI85,0),(SUM($E$107:AI107)-SUM($E$108:AI108)-SUM($E$109:AH109)))*AI9</f>
        <v>0</v>
      </c>
      <c r="AJ109" s="3">
        <f>MIN(MAX(-AJ93*(1+$D$92)+AJ95+AJ18+AJ84+AJ85,0),(SUM($E$107:AJ107)-SUM($E$108:AJ108)-SUM($E$109:AI109)))*AJ9</f>
        <v>0</v>
      </c>
      <c r="AK109" s="3">
        <f>MIN(MAX(-AK93*(1+$D$92)+AK95+AK18+AK84+AK85,0),(SUM($E$107:AK107)-SUM($E$108:AK108)-SUM($E$109:AJ109)))*AK9</f>
        <v>0</v>
      </c>
      <c r="AL109" s="3">
        <f>MIN(MAX(-AL93*(1+$D$92)+AL95+AL18+AL84+AL85,0),(SUM($E$107:AL107)-SUM($E$108:AL108)-SUM($E$109:AK109)))*AL9</f>
        <v>0</v>
      </c>
      <c r="AM109" s="3">
        <f>MIN(MAX(-AM93*(1+$D$92)+AM95+AM18+AM84+AM85,0),(SUM($E$107:AM107)-SUM($E$108:AM108)-SUM($E$109:AL109)))*AM9</f>
        <v>0</v>
      </c>
      <c r="AN109" s="3">
        <f>MIN(MAX(-AN93*(1+$D$92)+AN95+AN18+AN84+AN85,0),(SUM($E$107:AN107)-SUM($E$108:AN108)-SUM($E$109:AM109)))*AN9</f>
        <v>0</v>
      </c>
      <c r="AO109" s="3">
        <f>MIN(MAX(-AO93*(1+$D$92)+AO95+AO18+AO84+AO85,0),(SUM($E$107:AO107)-SUM($E$108:AO108)-SUM($E$109:AN109)))*AO9</f>
        <v>0</v>
      </c>
      <c r="AP109" s="3">
        <f>MIN(MAX(-AP93*(1+$D$92)+AP95+AP18+AP84+AP85,0),(SUM($E$107:AP107)-SUM($E$108:AP108)-SUM($E$109:AO109)))*AP9</f>
        <v>0</v>
      </c>
      <c r="AQ109" s="3">
        <f>MIN(MAX(-AQ93*(1+$D$92)+AQ95+AQ18+AQ84+AQ85,0),(SUM($E$107:AQ107)-SUM($E$108:AQ108)-SUM($E$109:AP109)))*AQ9</f>
        <v>0</v>
      </c>
      <c r="AR109" s="3">
        <f>MIN(MAX(-AR93*(1+$D$92)+AR95+AR18+AR84+AR85,0),(SUM($E$107:AR107)-SUM($E$108:AR108)-SUM($E$109:AQ109)))*AR9</f>
        <v>0</v>
      </c>
      <c r="AS109" s="3">
        <f>MIN(MAX(-AS93*(1+$D$92)+AS95+AS18+AS84+AS85,0),(SUM($E$107:AS107)-SUM($E$108:AS108)-SUM($E$109:AR109)))*AS9</f>
        <v>0</v>
      </c>
    </row>
    <row r="110" spans="1:46" x14ac:dyDescent="0.2">
      <c r="A110" s="46" t="s">
        <v>14</v>
      </c>
      <c r="B110" s="46"/>
      <c r="C110" s="52">
        <f>MAX(F110:AS110)</f>
        <v>0</v>
      </c>
      <c r="F110" s="3">
        <f>E110+F107-F108-F109</f>
        <v>-140969221.29787251</v>
      </c>
      <c r="G110" s="3">
        <f>F110+G107-G108-G109</f>
        <v>-744149721.12687337</v>
      </c>
      <c r="H110" s="3">
        <f t="shared" ref="H110:AS110" si="114">G110+H107-H108-H109</f>
        <v>-1206999492.4147367</v>
      </c>
      <c r="I110" s="3">
        <f t="shared" si="114"/>
        <v>-1547955546.9189365</v>
      </c>
      <c r="J110" s="3">
        <f t="shared" si="114"/>
        <v>-1832549462.0656433</v>
      </c>
      <c r="K110" s="3">
        <f t="shared" si="114"/>
        <v>-2266595747.7968698</v>
      </c>
      <c r="L110" s="3">
        <f t="shared" si="114"/>
        <v>-2634452823.8590884</v>
      </c>
      <c r="M110" s="3">
        <f t="shared" si="114"/>
        <v>-3176125884.5636234</v>
      </c>
      <c r="N110" s="3">
        <f t="shared" si="114"/>
        <v>-3743409145.8694005</v>
      </c>
      <c r="O110" s="3">
        <f t="shared" si="114"/>
        <v>-4203649460.3035755</v>
      </c>
      <c r="P110" s="3">
        <f t="shared" si="114"/>
        <v>-4745649881.227313</v>
      </c>
      <c r="Q110" s="3">
        <f t="shared" si="114"/>
        <v>-5485665465.4355879</v>
      </c>
      <c r="R110" s="3">
        <f t="shared" si="114"/>
        <v>-6278213435.6844206</v>
      </c>
      <c r="S110" s="3">
        <f t="shared" si="114"/>
        <v>-7143851169.5609331</v>
      </c>
      <c r="T110" s="3">
        <f t="shared" si="114"/>
        <v>-8047772231.4228878</v>
      </c>
      <c r="U110" s="3">
        <f t="shared" si="114"/>
        <v>-8923533478.0885487</v>
      </c>
      <c r="V110" s="3">
        <f t="shared" si="114"/>
        <v>-9822895931.1743641</v>
      </c>
      <c r="W110" s="3">
        <f t="shared" si="114"/>
        <v>-10908234917.618526</v>
      </c>
      <c r="X110" s="3">
        <f t="shared" si="114"/>
        <v>-12038797688.295506</v>
      </c>
      <c r="Y110" s="3">
        <f t="shared" si="114"/>
        <v>-13054748316.610622</v>
      </c>
      <c r="Z110" s="3">
        <f t="shared" si="114"/>
        <v>-13984428278.815342</v>
      </c>
      <c r="AA110" s="288">
        <f t="shared" si="114"/>
        <v>-14294927764.280214</v>
      </c>
      <c r="AB110" s="3">
        <f t="shared" si="114"/>
        <v>0</v>
      </c>
      <c r="AC110" s="3">
        <f t="shared" si="114"/>
        <v>-4371425.2762116026</v>
      </c>
      <c r="AD110" s="3">
        <f t="shared" si="114"/>
        <v>-4589397.7146418802</v>
      </c>
      <c r="AE110" s="3">
        <f t="shared" si="114"/>
        <v>-4600266.4773252532</v>
      </c>
      <c r="AF110" s="3">
        <f t="shared" si="114"/>
        <v>-4600814.3820742229</v>
      </c>
      <c r="AG110" s="3">
        <f>AF110+AG107-AG108-AG109</f>
        <v>-4600842.0024780063</v>
      </c>
      <c r="AH110" s="3">
        <f t="shared" si="114"/>
        <v>-4600843.3645801106</v>
      </c>
      <c r="AI110" s="3">
        <f t="shared" si="114"/>
        <v>-4600843.4324986264</v>
      </c>
      <c r="AJ110" s="3">
        <f t="shared" si="114"/>
        <v>-4600843.4359224644</v>
      </c>
      <c r="AK110" s="3">
        <f t="shared" si="114"/>
        <v>-4600843.4360950636</v>
      </c>
      <c r="AL110" s="3">
        <f t="shared" si="114"/>
        <v>-4600843.4361035749</v>
      </c>
      <c r="AM110" s="3">
        <f t="shared" si="114"/>
        <v>-4600843.4361039996</v>
      </c>
      <c r="AN110" s="3">
        <f t="shared" si="114"/>
        <v>-4600843.436104021</v>
      </c>
      <c r="AO110" s="3">
        <f t="shared" si="114"/>
        <v>-4600843.436104022</v>
      </c>
      <c r="AP110" s="3">
        <f t="shared" si="114"/>
        <v>-4600843.436104022</v>
      </c>
      <c r="AQ110" s="3">
        <f t="shared" si="114"/>
        <v>-4600843.436104022</v>
      </c>
      <c r="AR110" s="3">
        <f t="shared" si="114"/>
        <v>-4600843.436104022</v>
      </c>
      <c r="AS110" s="3">
        <f t="shared" si="114"/>
        <v>-4600843.436104022</v>
      </c>
    </row>
    <row r="111" spans="1:46" x14ac:dyDescent="0.2">
      <c r="A111" s="49" t="s">
        <v>119</v>
      </c>
      <c r="B111" s="49"/>
      <c r="C111" s="52">
        <f>SUM(F111:AS111)</f>
        <v>837011398.32397246</v>
      </c>
      <c r="D111" s="34">
        <v>0.01</v>
      </c>
      <c r="F111" s="3">
        <f>D111*'Бюджет '!F67</f>
        <v>837011398.32397246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288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6" x14ac:dyDescent="0.2">
      <c r="A112" s="49" t="s">
        <v>120</v>
      </c>
      <c r="B112" s="49"/>
      <c r="C112" s="52">
        <f t="shared" si="111"/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288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s="66" customFormat="1" ht="15.75" x14ac:dyDescent="0.25">
      <c r="A113" s="69" t="s">
        <v>18</v>
      </c>
      <c r="B113" s="69"/>
      <c r="C113" s="78"/>
      <c r="D113" s="67"/>
      <c r="E113" s="67"/>
      <c r="F113" s="68">
        <f t="shared" ref="F113:AS113" si="115">F98+F99-F108-F109</f>
        <v>0</v>
      </c>
      <c r="G113" s="68">
        <f t="shared" si="115"/>
        <v>0</v>
      </c>
      <c r="H113" s="68">
        <f t="shared" si="115"/>
        <v>0</v>
      </c>
      <c r="I113" s="68">
        <f t="shared" si="115"/>
        <v>0</v>
      </c>
      <c r="J113" s="68">
        <f t="shared" si="115"/>
        <v>0</v>
      </c>
      <c r="K113" s="68">
        <f t="shared" si="115"/>
        <v>0</v>
      </c>
      <c r="L113" s="68">
        <f t="shared" si="115"/>
        <v>0</v>
      </c>
      <c r="M113" s="68">
        <f t="shared" si="115"/>
        <v>0</v>
      </c>
      <c r="N113" s="68">
        <f t="shared" si="115"/>
        <v>0</v>
      </c>
      <c r="O113" s="68">
        <f t="shared" si="115"/>
        <v>0</v>
      </c>
      <c r="P113" s="68">
        <f t="shared" si="115"/>
        <v>0</v>
      </c>
      <c r="Q113" s="68">
        <f t="shared" si="115"/>
        <v>0</v>
      </c>
      <c r="R113" s="68">
        <f t="shared" si="115"/>
        <v>0</v>
      </c>
      <c r="S113" s="68">
        <f t="shared" si="115"/>
        <v>0</v>
      </c>
      <c r="T113" s="68">
        <f t="shared" si="115"/>
        <v>0</v>
      </c>
      <c r="U113" s="68">
        <f t="shared" si="115"/>
        <v>0</v>
      </c>
      <c r="V113" s="68">
        <f t="shared" si="115"/>
        <v>0</v>
      </c>
      <c r="W113" s="68">
        <f t="shared" si="115"/>
        <v>0</v>
      </c>
      <c r="X113" s="68">
        <f t="shared" si="115"/>
        <v>0</v>
      </c>
      <c r="Y113" s="68">
        <f t="shared" si="115"/>
        <v>0</v>
      </c>
      <c r="Z113" s="68">
        <f t="shared" si="115"/>
        <v>0</v>
      </c>
      <c r="AA113" s="290">
        <f t="shared" si="115"/>
        <v>0</v>
      </c>
      <c r="AB113" s="68">
        <f t="shared" si="115"/>
        <v>14381643537.422455</v>
      </c>
      <c r="AC113" s="68">
        <f t="shared" si="115"/>
        <v>0</v>
      </c>
      <c r="AD113" s="68">
        <f t="shared" si="115"/>
        <v>0</v>
      </c>
      <c r="AE113" s="68">
        <f t="shared" si="115"/>
        <v>0</v>
      </c>
      <c r="AF113" s="68">
        <f t="shared" si="115"/>
        <v>0</v>
      </c>
      <c r="AG113" s="68">
        <f t="shared" si="115"/>
        <v>0</v>
      </c>
      <c r="AH113" s="68">
        <f t="shared" si="115"/>
        <v>0</v>
      </c>
      <c r="AI113" s="68">
        <f t="shared" si="115"/>
        <v>0</v>
      </c>
      <c r="AJ113" s="68">
        <f t="shared" si="115"/>
        <v>0</v>
      </c>
      <c r="AK113" s="68">
        <f t="shared" si="115"/>
        <v>0</v>
      </c>
      <c r="AL113" s="68">
        <f t="shared" si="115"/>
        <v>0</v>
      </c>
      <c r="AM113" s="68">
        <f t="shared" si="115"/>
        <v>0</v>
      </c>
      <c r="AN113" s="68">
        <f t="shared" si="115"/>
        <v>0</v>
      </c>
      <c r="AO113" s="68">
        <f t="shared" si="115"/>
        <v>0</v>
      </c>
      <c r="AP113" s="68">
        <f t="shared" si="115"/>
        <v>0</v>
      </c>
      <c r="AQ113" s="68">
        <f t="shared" si="115"/>
        <v>0</v>
      </c>
      <c r="AR113" s="68">
        <f t="shared" si="115"/>
        <v>0</v>
      </c>
      <c r="AS113" s="68">
        <f t="shared" si="115"/>
        <v>0</v>
      </c>
    </row>
    <row r="114" spans="1:45" ht="15.75" x14ac:dyDescent="0.25">
      <c r="A114" s="44"/>
      <c r="B114" s="4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288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">
      <c r="A115" s="47" t="s">
        <v>112</v>
      </c>
      <c r="B115" s="47"/>
      <c r="D115" s="64">
        <v>0.14249999999999999</v>
      </c>
      <c r="F115" s="30">
        <f>$D$115</f>
        <v>0.14249999999999999</v>
      </c>
      <c r="G115" s="30">
        <f t="shared" ref="G115:AS115" si="116">$D$115</f>
        <v>0.14249999999999999</v>
      </c>
      <c r="H115" s="30">
        <f t="shared" si="116"/>
        <v>0.14249999999999999</v>
      </c>
      <c r="I115" s="30">
        <f t="shared" si="116"/>
        <v>0.14249999999999999</v>
      </c>
      <c r="J115" s="30">
        <f t="shared" si="116"/>
        <v>0.14249999999999999</v>
      </c>
      <c r="K115" s="30">
        <f t="shared" si="116"/>
        <v>0.14249999999999999</v>
      </c>
      <c r="L115" s="30">
        <f t="shared" si="116"/>
        <v>0.14249999999999999</v>
      </c>
      <c r="M115" s="30">
        <f t="shared" si="116"/>
        <v>0.14249999999999999</v>
      </c>
      <c r="N115" s="30">
        <f t="shared" si="116"/>
        <v>0.14249999999999999</v>
      </c>
      <c r="O115" s="30">
        <f t="shared" si="116"/>
        <v>0.14249999999999999</v>
      </c>
      <c r="P115" s="30">
        <f t="shared" si="116"/>
        <v>0.14249999999999999</v>
      </c>
      <c r="Q115" s="30">
        <f t="shared" si="116"/>
        <v>0.14249999999999999</v>
      </c>
      <c r="R115" s="30">
        <f t="shared" si="116"/>
        <v>0.14249999999999999</v>
      </c>
      <c r="S115" s="30">
        <f t="shared" si="116"/>
        <v>0.14249999999999999</v>
      </c>
      <c r="T115" s="30">
        <f t="shared" si="116"/>
        <v>0.14249999999999999</v>
      </c>
      <c r="U115" s="30">
        <f t="shared" si="116"/>
        <v>0.14249999999999999</v>
      </c>
      <c r="V115" s="30">
        <f t="shared" si="116"/>
        <v>0.14249999999999999</v>
      </c>
      <c r="W115" s="30">
        <f t="shared" si="116"/>
        <v>0.14249999999999999</v>
      </c>
      <c r="X115" s="30">
        <f t="shared" si="116"/>
        <v>0.14249999999999999</v>
      </c>
      <c r="Y115" s="30">
        <f t="shared" si="116"/>
        <v>0.14249999999999999</v>
      </c>
      <c r="Z115" s="30">
        <f t="shared" si="116"/>
        <v>0.14249999999999999</v>
      </c>
      <c r="AA115" s="29">
        <f t="shared" si="116"/>
        <v>0.14249999999999999</v>
      </c>
      <c r="AB115" s="30">
        <f t="shared" si="116"/>
        <v>0.14249999999999999</v>
      </c>
      <c r="AC115" s="30">
        <f t="shared" si="116"/>
        <v>0.14249999999999999</v>
      </c>
      <c r="AD115" s="30">
        <f t="shared" si="116"/>
        <v>0.14249999999999999</v>
      </c>
      <c r="AE115" s="30">
        <f t="shared" si="116"/>
        <v>0.14249999999999999</v>
      </c>
      <c r="AF115" s="30">
        <f t="shared" si="116"/>
        <v>0.14249999999999999</v>
      </c>
      <c r="AG115" s="30">
        <f t="shared" si="116"/>
        <v>0.14249999999999999</v>
      </c>
      <c r="AH115" s="30">
        <f t="shared" si="116"/>
        <v>0.14249999999999999</v>
      </c>
      <c r="AI115" s="30">
        <f t="shared" si="116"/>
        <v>0.14249999999999999</v>
      </c>
      <c r="AJ115" s="30">
        <f t="shared" si="116"/>
        <v>0.14249999999999999</v>
      </c>
      <c r="AK115" s="30">
        <f t="shared" si="116"/>
        <v>0.14249999999999999</v>
      </c>
      <c r="AL115" s="30">
        <f t="shared" si="116"/>
        <v>0.14249999999999999</v>
      </c>
      <c r="AM115" s="30">
        <f t="shared" si="116"/>
        <v>0.14249999999999999</v>
      </c>
      <c r="AN115" s="30">
        <f t="shared" si="116"/>
        <v>0.14249999999999999</v>
      </c>
      <c r="AO115" s="30">
        <f t="shared" si="116"/>
        <v>0.14249999999999999</v>
      </c>
      <c r="AP115" s="30">
        <f t="shared" si="116"/>
        <v>0.14249999999999999</v>
      </c>
      <c r="AQ115" s="30">
        <f t="shared" si="116"/>
        <v>0.14249999999999999</v>
      </c>
      <c r="AR115" s="30">
        <f t="shared" si="116"/>
        <v>0.14249999999999999</v>
      </c>
      <c r="AS115" s="30">
        <f t="shared" si="116"/>
        <v>0.14249999999999999</v>
      </c>
    </row>
    <row r="116" spans="1:45" x14ac:dyDescent="0.2">
      <c r="A116" s="47" t="s">
        <v>113</v>
      </c>
      <c r="B116" s="47"/>
      <c r="D116" s="64">
        <v>0.05</v>
      </c>
      <c r="F116" s="30">
        <f t="shared" ref="F116:AS116" si="117">$D$116</f>
        <v>0.05</v>
      </c>
      <c r="G116" s="30">
        <f t="shared" si="117"/>
        <v>0.05</v>
      </c>
      <c r="H116" s="30">
        <f t="shared" si="117"/>
        <v>0.05</v>
      </c>
      <c r="I116" s="30">
        <f t="shared" si="117"/>
        <v>0.05</v>
      </c>
      <c r="J116" s="30">
        <f t="shared" si="117"/>
        <v>0.05</v>
      </c>
      <c r="K116" s="30">
        <f t="shared" si="117"/>
        <v>0.05</v>
      </c>
      <c r="L116" s="30">
        <f t="shared" si="117"/>
        <v>0.05</v>
      </c>
      <c r="M116" s="30">
        <f t="shared" si="117"/>
        <v>0.05</v>
      </c>
      <c r="N116" s="30">
        <f t="shared" si="117"/>
        <v>0.05</v>
      </c>
      <c r="O116" s="30">
        <f t="shared" si="117"/>
        <v>0.05</v>
      </c>
      <c r="P116" s="30">
        <f t="shared" si="117"/>
        <v>0.05</v>
      </c>
      <c r="Q116" s="30">
        <f t="shared" si="117"/>
        <v>0.05</v>
      </c>
      <c r="R116" s="30">
        <f t="shared" si="117"/>
        <v>0.05</v>
      </c>
      <c r="S116" s="30">
        <f t="shared" si="117"/>
        <v>0.05</v>
      </c>
      <c r="T116" s="30">
        <f t="shared" si="117"/>
        <v>0.05</v>
      </c>
      <c r="U116" s="30">
        <f t="shared" si="117"/>
        <v>0.05</v>
      </c>
      <c r="V116" s="30">
        <f t="shared" si="117"/>
        <v>0.05</v>
      </c>
      <c r="W116" s="30">
        <f t="shared" si="117"/>
        <v>0.05</v>
      </c>
      <c r="X116" s="30">
        <f t="shared" si="117"/>
        <v>0.05</v>
      </c>
      <c r="Y116" s="30">
        <f t="shared" si="117"/>
        <v>0.05</v>
      </c>
      <c r="Z116" s="30">
        <f t="shared" si="117"/>
        <v>0.05</v>
      </c>
      <c r="AA116" s="29">
        <f t="shared" si="117"/>
        <v>0.05</v>
      </c>
      <c r="AB116" s="30">
        <f t="shared" si="117"/>
        <v>0.05</v>
      </c>
      <c r="AC116" s="30">
        <f t="shared" si="117"/>
        <v>0.05</v>
      </c>
      <c r="AD116" s="30">
        <f t="shared" si="117"/>
        <v>0.05</v>
      </c>
      <c r="AE116" s="30">
        <f t="shared" si="117"/>
        <v>0.05</v>
      </c>
      <c r="AF116" s="30">
        <f t="shared" si="117"/>
        <v>0.05</v>
      </c>
      <c r="AG116" s="30">
        <f t="shared" si="117"/>
        <v>0.05</v>
      </c>
      <c r="AH116" s="30">
        <f t="shared" si="117"/>
        <v>0.05</v>
      </c>
      <c r="AI116" s="30">
        <f t="shared" si="117"/>
        <v>0.05</v>
      </c>
      <c r="AJ116" s="30">
        <f t="shared" si="117"/>
        <v>0.05</v>
      </c>
      <c r="AK116" s="30">
        <f t="shared" si="117"/>
        <v>0.05</v>
      </c>
      <c r="AL116" s="30">
        <f t="shared" si="117"/>
        <v>0.05</v>
      </c>
      <c r="AM116" s="30">
        <f t="shared" si="117"/>
        <v>0.05</v>
      </c>
      <c r="AN116" s="30">
        <f t="shared" si="117"/>
        <v>0.05</v>
      </c>
      <c r="AO116" s="30">
        <f t="shared" si="117"/>
        <v>0.05</v>
      </c>
      <c r="AP116" s="30">
        <f t="shared" si="117"/>
        <v>0.05</v>
      </c>
      <c r="AQ116" s="30">
        <f t="shared" si="117"/>
        <v>0.05</v>
      </c>
      <c r="AR116" s="30">
        <f t="shared" si="117"/>
        <v>0.05</v>
      </c>
      <c r="AS116" s="30">
        <f t="shared" si="117"/>
        <v>0.05</v>
      </c>
    </row>
    <row r="117" spans="1:45" x14ac:dyDescent="0.2">
      <c r="A117" s="47" t="s">
        <v>114</v>
      </c>
      <c r="B117" s="47"/>
      <c r="D117" s="64">
        <v>0.2</v>
      </c>
      <c r="F117" s="30">
        <f t="shared" ref="F117:AS117" si="118">$D$117</f>
        <v>0.2</v>
      </c>
      <c r="G117" s="30">
        <f t="shared" si="118"/>
        <v>0.2</v>
      </c>
      <c r="H117" s="30">
        <f t="shared" si="118"/>
        <v>0.2</v>
      </c>
      <c r="I117" s="30">
        <f t="shared" si="118"/>
        <v>0.2</v>
      </c>
      <c r="J117" s="30">
        <f t="shared" si="118"/>
        <v>0.2</v>
      </c>
      <c r="K117" s="30">
        <f t="shared" si="118"/>
        <v>0.2</v>
      </c>
      <c r="L117" s="30">
        <f t="shared" si="118"/>
        <v>0.2</v>
      </c>
      <c r="M117" s="30">
        <f t="shared" si="118"/>
        <v>0.2</v>
      </c>
      <c r="N117" s="30">
        <f t="shared" si="118"/>
        <v>0.2</v>
      </c>
      <c r="O117" s="30">
        <f t="shared" si="118"/>
        <v>0.2</v>
      </c>
      <c r="P117" s="30">
        <f t="shared" si="118"/>
        <v>0.2</v>
      </c>
      <c r="Q117" s="30">
        <f t="shared" si="118"/>
        <v>0.2</v>
      </c>
      <c r="R117" s="30">
        <f t="shared" si="118"/>
        <v>0.2</v>
      </c>
      <c r="S117" s="30">
        <f t="shared" si="118"/>
        <v>0.2</v>
      </c>
      <c r="T117" s="30">
        <f t="shared" si="118"/>
        <v>0.2</v>
      </c>
      <c r="U117" s="30">
        <f t="shared" si="118"/>
        <v>0.2</v>
      </c>
      <c r="V117" s="30">
        <f t="shared" si="118"/>
        <v>0.2</v>
      </c>
      <c r="W117" s="30">
        <f t="shared" si="118"/>
        <v>0.2</v>
      </c>
      <c r="X117" s="30">
        <f t="shared" si="118"/>
        <v>0.2</v>
      </c>
      <c r="Y117" s="30">
        <f t="shared" si="118"/>
        <v>0.2</v>
      </c>
      <c r="Z117" s="30">
        <f t="shared" si="118"/>
        <v>0.2</v>
      </c>
      <c r="AA117" s="29">
        <f t="shared" si="118"/>
        <v>0.2</v>
      </c>
      <c r="AB117" s="30">
        <f t="shared" si="118"/>
        <v>0.2</v>
      </c>
      <c r="AC117" s="30">
        <f t="shared" si="118"/>
        <v>0.2</v>
      </c>
      <c r="AD117" s="30">
        <f t="shared" si="118"/>
        <v>0.2</v>
      </c>
      <c r="AE117" s="30">
        <f t="shared" si="118"/>
        <v>0.2</v>
      </c>
      <c r="AF117" s="30">
        <f t="shared" si="118"/>
        <v>0.2</v>
      </c>
      <c r="AG117" s="30">
        <f t="shared" si="118"/>
        <v>0.2</v>
      </c>
      <c r="AH117" s="30">
        <f t="shared" si="118"/>
        <v>0.2</v>
      </c>
      <c r="AI117" s="30">
        <f t="shared" si="118"/>
        <v>0.2</v>
      </c>
      <c r="AJ117" s="30">
        <f t="shared" si="118"/>
        <v>0.2</v>
      </c>
      <c r="AK117" s="30">
        <f t="shared" si="118"/>
        <v>0.2</v>
      </c>
      <c r="AL117" s="30">
        <f t="shared" si="118"/>
        <v>0.2</v>
      </c>
      <c r="AM117" s="30">
        <f t="shared" si="118"/>
        <v>0.2</v>
      </c>
      <c r="AN117" s="30">
        <f t="shared" si="118"/>
        <v>0.2</v>
      </c>
      <c r="AO117" s="30">
        <f t="shared" si="118"/>
        <v>0.2</v>
      </c>
      <c r="AP117" s="30">
        <f t="shared" si="118"/>
        <v>0.2</v>
      </c>
      <c r="AQ117" s="30">
        <f t="shared" si="118"/>
        <v>0.2</v>
      </c>
      <c r="AR117" s="30">
        <f t="shared" si="118"/>
        <v>0.2</v>
      </c>
      <c r="AS117" s="30">
        <f t="shared" si="118"/>
        <v>0.2</v>
      </c>
    </row>
    <row r="118" spans="1:45" x14ac:dyDescent="0.2">
      <c r="A118" s="47" t="s">
        <v>115</v>
      </c>
      <c r="B118" s="47"/>
      <c r="D118" s="64">
        <v>-0.02</v>
      </c>
      <c r="F118" s="30">
        <f t="shared" ref="F118:AS118" si="119">F115+$D$118</f>
        <v>0.12249999999999998</v>
      </c>
      <c r="G118" s="30">
        <f t="shared" si="119"/>
        <v>0.12249999999999998</v>
      </c>
      <c r="H118" s="30">
        <f t="shared" si="119"/>
        <v>0.12249999999999998</v>
      </c>
      <c r="I118" s="30">
        <f t="shared" si="119"/>
        <v>0.12249999999999998</v>
      </c>
      <c r="J118" s="30">
        <f t="shared" si="119"/>
        <v>0.12249999999999998</v>
      </c>
      <c r="K118" s="30">
        <f t="shared" si="119"/>
        <v>0.12249999999999998</v>
      </c>
      <c r="L118" s="30">
        <f t="shared" si="119"/>
        <v>0.12249999999999998</v>
      </c>
      <c r="M118" s="30">
        <f t="shared" si="119"/>
        <v>0.12249999999999998</v>
      </c>
      <c r="N118" s="30">
        <f t="shared" si="119"/>
        <v>0.12249999999999998</v>
      </c>
      <c r="O118" s="30">
        <f t="shared" si="119"/>
        <v>0.12249999999999998</v>
      </c>
      <c r="P118" s="30">
        <f t="shared" si="119"/>
        <v>0.12249999999999998</v>
      </c>
      <c r="Q118" s="30">
        <f t="shared" si="119"/>
        <v>0.12249999999999998</v>
      </c>
      <c r="R118" s="30">
        <f t="shared" si="119"/>
        <v>0.12249999999999998</v>
      </c>
      <c r="S118" s="30">
        <f t="shared" si="119"/>
        <v>0.12249999999999998</v>
      </c>
      <c r="T118" s="30">
        <f t="shared" si="119"/>
        <v>0.12249999999999998</v>
      </c>
      <c r="U118" s="30">
        <f t="shared" si="119"/>
        <v>0.12249999999999998</v>
      </c>
      <c r="V118" s="30">
        <f t="shared" si="119"/>
        <v>0.12249999999999998</v>
      </c>
      <c r="W118" s="30">
        <f t="shared" si="119"/>
        <v>0.12249999999999998</v>
      </c>
      <c r="X118" s="30">
        <f t="shared" si="119"/>
        <v>0.12249999999999998</v>
      </c>
      <c r="Y118" s="30">
        <f t="shared" si="119"/>
        <v>0.12249999999999998</v>
      </c>
      <c r="Z118" s="30">
        <f t="shared" si="119"/>
        <v>0.12249999999999998</v>
      </c>
      <c r="AA118" s="29">
        <f t="shared" si="119"/>
        <v>0.12249999999999998</v>
      </c>
      <c r="AB118" s="30">
        <f t="shared" si="119"/>
        <v>0.12249999999999998</v>
      </c>
      <c r="AC118" s="30">
        <f t="shared" si="119"/>
        <v>0.12249999999999998</v>
      </c>
      <c r="AD118" s="30">
        <f t="shared" si="119"/>
        <v>0.12249999999999998</v>
      </c>
      <c r="AE118" s="30">
        <f t="shared" si="119"/>
        <v>0.12249999999999998</v>
      </c>
      <c r="AF118" s="30">
        <f t="shared" si="119"/>
        <v>0.12249999999999998</v>
      </c>
      <c r="AG118" s="30">
        <f t="shared" si="119"/>
        <v>0.12249999999999998</v>
      </c>
      <c r="AH118" s="30">
        <f t="shared" si="119"/>
        <v>0.12249999999999998</v>
      </c>
      <c r="AI118" s="30">
        <f t="shared" si="119"/>
        <v>0.12249999999999998</v>
      </c>
      <c r="AJ118" s="30">
        <f t="shared" si="119"/>
        <v>0.12249999999999998</v>
      </c>
      <c r="AK118" s="30">
        <f t="shared" si="119"/>
        <v>0.12249999999999998</v>
      </c>
      <c r="AL118" s="30">
        <f t="shared" si="119"/>
        <v>0.12249999999999998</v>
      </c>
      <c r="AM118" s="30">
        <f t="shared" si="119"/>
        <v>0.12249999999999998</v>
      </c>
      <c r="AN118" s="30">
        <f t="shared" si="119"/>
        <v>0.12249999999999998</v>
      </c>
      <c r="AO118" s="30">
        <f t="shared" si="119"/>
        <v>0.12249999999999998</v>
      </c>
      <c r="AP118" s="30">
        <f t="shared" si="119"/>
        <v>0.12249999999999998</v>
      </c>
      <c r="AQ118" s="30">
        <f t="shared" si="119"/>
        <v>0.12249999999999998</v>
      </c>
      <c r="AR118" s="30">
        <f t="shared" si="119"/>
        <v>0.12249999999999998</v>
      </c>
      <c r="AS118" s="30">
        <f t="shared" si="119"/>
        <v>0.12249999999999998</v>
      </c>
    </row>
    <row r="119" spans="1:45" x14ac:dyDescent="0.2">
      <c r="A119" s="47" t="s">
        <v>116</v>
      </c>
      <c r="B119" s="47"/>
      <c r="D119" s="64">
        <v>1E-3</v>
      </c>
      <c r="F119" s="30">
        <f t="shared" ref="F119:AS119" si="120">$D$119</f>
        <v>1E-3</v>
      </c>
      <c r="G119" s="30">
        <f t="shared" si="120"/>
        <v>1E-3</v>
      </c>
      <c r="H119" s="30">
        <f t="shared" si="120"/>
        <v>1E-3</v>
      </c>
      <c r="I119" s="30">
        <f t="shared" si="120"/>
        <v>1E-3</v>
      </c>
      <c r="J119" s="30">
        <f t="shared" si="120"/>
        <v>1E-3</v>
      </c>
      <c r="K119" s="30">
        <f t="shared" si="120"/>
        <v>1E-3</v>
      </c>
      <c r="L119" s="30">
        <f t="shared" si="120"/>
        <v>1E-3</v>
      </c>
      <c r="M119" s="30">
        <f t="shared" si="120"/>
        <v>1E-3</v>
      </c>
      <c r="N119" s="30">
        <f t="shared" si="120"/>
        <v>1E-3</v>
      </c>
      <c r="O119" s="30">
        <f t="shared" si="120"/>
        <v>1E-3</v>
      </c>
      <c r="P119" s="30">
        <f t="shared" si="120"/>
        <v>1E-3</v>
      </c>
      <c r="Q119" s="30">
        <f t="shared" si="120"/>
        <v>1E-3</v>
      </c>
      <c r="R119" s="30">
        <f t="shared" si="120"/>
        <v>1E-3</v>
      </c>
      <c r="S119" s="30">
        <f t="shared" si="120"/>
        <v>1E-3</v>
      </c>
      <c r="T119" s="30">
        <f t="shared" si="120"/>
        <v>1E-3</v>
      </c>
      <c r="U119" s="30">
        <f t="shared" si="120"/>
        <v>1E-3</v>
      </c>
      <c r="V119" s="30">
        <f t="shared" si="120"/>
        <v>1E-3</v>
      </c>
      <c r="W119" s="30">
        <f t="shared" si="120"/>
        <v>1E-3</v>
      </c>
      <c r="X119" s="30">
        <f t="shared" si="120"/>
        <v>1E-3</v>
      </c>
      <c r="Y119" s="30">
        <f t="shared" si="120"/>
        <v>1E-3</v>
      </c>
      <c r="Z119" s="30">
        <f t="shared" si="120"/>
        <v>1E-3</v>
      </c>
      <c r="AA119" s="29">
        <f t="shared" si="120"/>
        <v>1E-3</v>
      </c>
      <c r="AB119" s="30">
        <f t="shared" si="120"/>
        <v>1E-3</v>
      </c>
      <c r="AC119" s="30">
        <f t="shared" si="120"/>
        <v>1E-3</v>
      </c>
      <c r="AD119" s="30">
        <f t="shared" si="120"/>
        <v>1E-3</v>
      </c>
      <c r="AE119" s="30">
        <f t="shared" si="120"/>
        <v>1E-3</v>
      </c>
      <c r="AF119" s="30">
        <f t="shared" si="120"/>
        <v>1E-3</v>
      </c>
      <c r="AG119" s="30">
        <f t="shared" si="120"/>
        <v>1E-3</v>
      </c>
      <c r="AH119" s="30">
        <f t="shared" si="120"/>
        <v>1E-3</v>
      </c>
      <c r="AI119" s="30">
        <f t="shared" si="120"/>
        <v>1E-3</v>
      </c>
      <c r="AJ119" s="30">
        <f t="shared" si="120"/>
        <v>1E-3</v>
      </c>
      <c r="AK119" s="30">
        <f t="shared" si="120"/>
        <v>1E-3</v>
      </c>
      <c r="AL119" s="30">
        <f t="shared" si="120"/>
        <v>1E-3</v>
      </c>
      <c r="AM119" s="30">
        <f t="shared" si="120"/>
        <v>1E-3</v>
      </c>
      <c r="AN119" s="30">
        <f t="shared" si="120"/>
        <v>1E-3</v>
      </c>
      <c r="AO119" s="30">
        <f t="shared" si="120"/>
        <v>1E-3</v>
      </c>
      <c r="AP119" s="30">
        <f t="shared" si="120"/>
        <v>1E-3</v>
      </c>
      <c r="AQ119" s="30">
        <f t="shared" si="120"/>
        <v>1E-3</v>
      </c>
      <c r="AR119" s="30">
        <f t="shared" si="120"/>
        <v>1E-3</v>
      </c>
      <c r="AS119" s="30">
        <f t="shared" si="120"/>
        <v>1E-3</v>
      </c>
    </row>
    <row r="120" spans="1:45" x14ac:dyDescent="0.2">
      <c r="A120" s="47" t="s">
        <v>111</v>
      </c>
      <c r="B120" s="47"/>
      <c r="C120" s="36"/>
      <c r="D120" s="48"/>
      <c r="E120" s="48"/>
      <c r="F120" s="3">
        <f t="shared" ref="F120:AS120" si="121">AVERAGE(E94:F94)</f>
        <v>4184396165.448</v>
      </c>
      <c r="G120" s="3">
        <f t="shared" si="121"/>
        <v>4848115635.8620205</v>
      </c>
      <c r="H120" s="3">
        <f t="shared" si="121"/>
        <v>5967238304.2172146</v>
      </c>
      <c r="I120" s="3">
        <f t="shared" si="121"/>
        <v>6995528285.0791111</v>
      </c>
      <c r="J120" s="3">
        <f t="shared" si="121"/>
        <v>8051673416.8766785</v>
      </c>
      <c r="K120" s="3">
        <f t="shared" si="121"/>
        <v>9788194529.176754</v>
      </c>
      <c r="L120" s="3">
        <f t="shared" si="121"/>
        <v>12532839887.65789</v>
      </c>
      <c r="M120" s="3">
        <f t="shared" si="121"/>
        <v>15835272374.568502</v>
      </c>
      <c r="N120" s="3">
        <f t="shared" si="121"/>
        <v>19589140581.44429</v>
      </c>
      <c r="O120" s="3">
        <f t="shared" si="121"/>
        <v>23229698210.19426</v>
      </c>
      <c r="P120" s="3">
        <f t="shared" si="121"/>
        <v>26939948295.672909</v>
      </c>
      <c r="Q120" s="3">
        <f t="shared" si="121"/>
        <v>31233553112.456627</v>
      </c>
      <c r="R120" s="3">
        <f t="shared" si="121"/>
        <v>35960580878.036392</v>
      </c>
      <c r="S120" s="3">
        <f t="shared" si="121"/>
        <v>41069193896.361282</v>
      </c>
      <c r="T120" s="3">
        <f t="shared" si="121"/>
        <v>46339310285.131699</v>
      </c>
      <c r="U120" s="3">
        <f t="shared" si="121"/>
        <v>51757639972.176636</v>
      </c>
      <c r="V120" s="3">
        <f t="shared" si="121"/>
        <v>57543338466.600922</v>
      </c>
      <c r="W120" s="3">
        <f t="shared" si="121"/>
        <v>63505789810.428841</v>
      </c>
      <c r="X120" s="3">
        <f t="shared" si="121"/>
        <v>69535130420.939255</v>
      </c>
      <c r="Y120" s="3">
        <f t="shared" si="121"/>
        <v>75709394362.205475</v>
      </c>
      <c r="Z120" s="3">
        <f t="shared" si="121"/>
        <v>81460411857.390472</v>
      </c>
      <c r="AA120" s="288">
        <f t="shared" si="121"/>
        <v>86532568728.327454</v>
      </c>
      <c r="AB120" s="3">
        <f t="shared" si="121"/>
        <v>44493138440.145241</v>
      </c>
      <c r="AC120" s="3">
        <f t="shared" si="121"/>
        <v>0</v>
      </c>
      <c r="AD120" s="3">
        <f t="shared" si="121"/>
        <v>0</v>
      </c>
      <c r="AE120" s="3">
        <f t="shared" si="121"/>
        <v>0</v>
      </c>
      <c r="AF120" s="3">
        <f t="shared" si="121"/>
        <v>0</v>
      </c>
      <c r="AG120" s="3">
        <f t="shared" si="121"/>
        <v>0</v>
      </c>
      <c r="AH120" s="3">
        <f t="shared" si="121"/>
        <v>0</v>
      </c>
      <c r="AI120" s="3">
        <f t="shared" si="121"/>
        <v>0</v>
      </c>
      <c r="AJ120" s="3">
        <f t="shared" si="121"/>
        <v>0</v>
      </c>
      <c r="AK120" s="3">
        <f t="shared" si="121"/>
        <v>0</v>
      </c>
      <c r="AL120" s="3">
        <f t="shared" si="121"/>
        <v>0</v>
      </c>
      <c r="AM120" s="3">
        <f t="shared" si="121"/>
        <v>0</v>
      </c>
      <c r="AN120" s="3">
        <f t="shared" si="121"/>
        <v>0</v>
      </c>
      <c r="AO120" s="3">
        <f t="shared" si="121"/>
        <v>0</v>
      </c>
      <c r="AP120" s="3">
        <f t="shared" si="121"/>
        <v>0</v>
      </c>
      <c r="AQ120" s="3">
        <f t="shared" si="121"/>
        <v>0</v>
      </c>
      <c r="AR120" s="3">
        <f t="shared" si="121"/>
        <v>0</v>
      </c>
      <c r="AS120" s="3">
        <f t="shared" si="121"/>
        <v>0</v>
      </c>
    </row>
    <row r="121" spans="1:45" x14ac:dyDescent="0.2">
      <c r="A121" s="47" t="s">
        <v>117</v>
      </c>
      <c r="B121" s="47"/>
      <c r="D121" s="48"/>
      <c r="F121" s="3">
        <f t="shared" ref="F121:AS121" si="122">AVERAGE(E106:F106)</f>
        <v>0</v>
      </c>
      <c r="G121" s="3">
        <f t="shared" si="122"/>
        <v>0</v>
      </c>
      <c r="H121" s="3">
        <f t="shared" si="122"/>
        <v>0</v>
      </c>
      <c r="I121" s="3">
        <f t="shared" si="122"/>
        <v>0</v>
      </c>
      <c r="J121" s="3">
        <f t="shared" si="122"/>
        <v>0</v>
      </c>
      <c r="K121" s="3">
        <f t="shared" si="122"/>
        <v>0</v>
      </c>
      <c r="L121" s="3">
        <f t="shared" si="122"/>
        <v>0</v>
      </c>
      <c r="M121" s="3">
        <f t="shared" si="122"/>
        <v>0</v>
      </c>
      <c r="N121" s="3">
        <f t="shared" si="122"/>
        <v>0</v>
      </c>
      <c r="O121" s="3">
        <f t="shared" si="122"/>
        <v>0</v>
      </c>
      <c r="P121" s="3">
        <f t="shared" si="122"/>
        <v>0</v>
      </c>
      <c r="Q121" s="3">
        <f t="shared" si="122"/>
        <v>0</v>
      </c>
      <c r="R121" s="3">
        <f t="shared" si="122"/>
        <v>0</v>
      </c>
      <c r="S121" s="3">
        <f t="shared" si="122"/>
        <v>0</v>
      </c>
      <c r="T121" s="3">
        <f t="shared" si="122"/>
        <v>0</v>
      </c>
      <c r="U121" s="3">
        <f t="shared" si="122"/>
        <v>0</v>
      </c>
      <c r="V121" s="3">
        <f t="shared" si="122"/>
        <v>0</v>
      </c>
      <c r="W121" s="3">
        <f t="shared" si="122"/>
        <v>0</v>
      </c>
      <c r="X121" s="3">
        <f t="shared" si="122"/>
        <v>0</v>
      </c>
      <c r="Y121" s="3">
        <f>AVERAGE(X106:Y106)</f>
        <v>0</v>
      </c>
      <c r="Z121" s="3">
        <f t="shared" si="122"/>
        <v>0</v>
      </c>
      <c r="AA121" s="288">
        <f>AVERAGE(Z106:AA106)</f>
        <v>0</v>
      </c>
      <c r="AB121" s="3">
        <f>AVERAGE(AA106:AB106)</f>
        <v>0</v>
      </c>
      <c r="AC121" s="3">
        <f t="shared" si="122"/>
        <v>0</v>
      </c>
      <c r="AD121" s="3">
        <f t="shared" si="122"/>
        <v>0</v>
      </c>
      <c r="AE121" s="3">
        <f t="shared" si="122"/>
        <v>0</v>
      </c>
      <c r="AF121" s="3">
        <f t="shared" si="122"/>
        <v>0</v>
      </c>
      <c r="AG121" s="3">
        <f t="shared" si="122"/>
        <v>0</v>
      </c>
      <c r="AH121" s="3">
        <f t="shared" si="122"/>
        <v>0</v>
      </c>
      <c r="AI121" s="3">
        <f t="shared" si="122"/>
        <v>0</v>
      </c>
      <c r="AJ121" s="3">
        <f t="shared" si="122"/>
        <v>0</v>
      </c>
      <c r="AK121" s="3">
        <f t="shared" si="122"/>
        <v>0</v>
      </c>
      <c r="AL121" s="3">
        <f t="shared" si="122"/>
        <v>0</v>
      </c>
      <c r="AM121" s="3">
        <f t="shared" si="122"/>
        <v>0</v>
      </c>
      <c r="AN121" s="3">
        <f t="shared" si="122"/>
        <v>0</v>
      </c>
      <c r="AO121" s="3">
        <f t="shared" si="122"/>
        <v>0</v>
      </c>
      <c r="AP121" s="3">
        <f t="shared" si="122"/>
        <v>0</v>
      </c>
      <c r="AQ121" s="3">
        <f t="shared" si="122"/>
        <v>0</v>
      </c>
      <c r="AR121" s="3">
        <f t="shared" si="122"/>
        <v>0</v>
      </c>
      <c r="AS121" s="3">
        <f t="shared" si="122"/>
        <v>0</v>
      </c>
    </row>
    <row r="122" spans="1:45" x14ac:dyDescent="0.2">
      <c r="A122" s="47" t="s">
        <v>23</v>
      </c>
      <c r="B122" s="47"/>
      <c r="D122" s="48"/>
      <c r="E122" s="48"/>
      <c r="F122" s="6">
        <f>IF(E121+E110=0,0,MIN(E120/(E110+E121),1))</f>
        <v>0</v>
      </c>
      <c r="G122" s="6">
        <f t="shared" ref="G122:AS122" si="123">IF(F121+F110=0,0,MIN(F120/(F110+F121),1))</f>
        <v>-29.683048022278818</v>
      </c>
      <c r="H122" s="6">
        <f t="shared" si="123"/>
        <v>-6.5149733961069964</v>
      </c>
      <c r="I122" s="6">
        <f t="shared" si="123"/>
        <v>-4.9438614860384824</v>
      </c>
      <c r="J122" s="6">
        <f t="shared" si="123"/>
        <v>-4.5192048951296231</v>
      </c>
      <c r="K122" s="6">
        <f t="shared" si="123"/>
        <v>-4.3937004613238981</v>
      </c>
      <c r="L122" s="6">
        <f t="shared" si="123"/>
        <v>-4.3184562305346574</v>
      </c>
      <c r="M122" s="6">
        <f t="shared" si="123"/>
        <v>-4.7572838557416679</v>
      </c>
      <c r="N122" s="6">
        <f t="shared" si="123"/>
        <v>-4.9857193795529149</v>
      </c>
      <c r="O122" s="6">
        <f t="shared" si="123"/>
        <v>-5.2329680828662788</v>
      </c>
      <c r="P122" s="6">
        <f t="shared" si="123"/>
        <v>-5.5260788107000431</v>
      </c>
      <c r="Q122" s="6">
        <f t="shared" si="123"/>
        <v>-5.6767669275900605</v>
      </c>
      <c r="R122" s="6">
        <f t="shared" si="123"/>
        <v>-5.6936671237527854</v>
      </c>
      <c r="S122" s="6">
        <f t="shared" si="123"/>
        <v>-5.727836628433475</v>
      </c>
      <c r="T122" s="6">
        <f t="shared" si="123"/>
        <v>-5.7488871088681188</v>
      </c>
      <c r="U122" s="6">
        <f t="shared" si="123"/>
        <v>-5.7580295456421817</v>
      </c>
      <c r="V122" s="6">
        <f t="shared" si="123"/>
        <v>-5.8001284019683306</v>
      </c>
      <c r="W122" s="6">
        <f t="shared" si="123"/>
        <v>-5.8580828779809133</v>
      </c>
      <c r="X122" s="6">
        <f t="shared" si="123"/>
        <v>-5.8218208802834761</v>
      </c>
      <c r="Y122" s="6">
        <f t="shared" si="123"/>
        <v>-5.7759198402796885</v>
      </c>
      <c r="Z122" s="6">
        <f t="shared" si="123"/>
        <v>-5.7993760221232478</v>
      </c>
      <c r="AA122" s="291">
        <f t="shared" si="123"/>
        <v>-5.8250798840874172</v>
      </c>
      <c r="AB122" s="6">
        <f t="shared" si="123"/>
        <v>-6.053375725657931</v>
      </c>
      <c r="AC122" s="6">
        <f t="shared" si="123"/>
        <v>0</v>
      </c>
      <c r="AD122" s="6">
        <f t="shared" si="123"/>
        <v>0</v>
      </c>
      <c r="AE122" s="6">
        <f t="shared" si="123"/>
        <v>0</v>
      </c>
      <c r="AF122" s="6">
        <f t="shared" si="123"/>
        <v>0</v>
      </c>
      <c r="AG122" s="6">
        <f t="shared" si="123"/>
        <v>0</v>
      </c>
      <c r="AH122" s="6">
        <f t="shared" si="123"/>
        <v>0</v>
      </c>
      <c r="AI122" s="6">
        <f t="shared" si="123"/>
        <v>0</v>
      </c>
      <c r="AJ122" s="6">
        <f t="shared" si="123"/>
        <v>0</v>
      </c>
      <c r="AK122" s="6">
        <f t="shared" si="123"/>
        <v>0</v>
      </c>
      <c r="AL122" s="6">
        <f t="shared" si="123"/>
        <v>0</v>
      </c>
      <c r="AM122" s="6">
        <f t="shared" si="123"/>
        <v>0</v>
      </c>
      <c r="AN122" s="6">
        <f t="shared" si="123"/>
        <v>0</v>
      </c>
      <c r="AO122" s="6">
        <f t="shared" si="123"/>
        <v>0</v>
      </c>
      <c r="AP122" s="6">
        <f t="shared" si="123"/>
        <v>0</v>
      </c>
      <c r="AQ122" s="6">
        <f t="shared" si="123"/>
        <v>0</v>
      </c>
      <c r="AR122" s="6">
        <f t="shared" si="123"/>
        <v>0</v>
      </c>
      <c r="AS122" s="6">
        <f t="shared" si="123"/>
        <v>0</v>
      </c>
    </row>
    <row r="123" spans="1:45" x14ac:dyDescent="0.2">
      <c r="A123" s="47" t="s">
        <v>24</v>
      </c>
      <c r="B123" s="47"/>
      <c r="D123" s="48"/>
      <c r="E123" s="48"/>
      <c r="F123" s="6">
        <f>1-F122</f>
        <v>1</v>
      </c>
      <c r="G123" s="6">
        <f t="shared" ref="G123:AS123" si="124">1-G122</f>
        <v>30.683048022278818</v>
      </c>
      <c r="H123" s="6">
        <f t="shared" si="124"/>
        <v>7.5149733961069964</v>
      </c>
      <c r="I123" s="6">
        <f t="shared" si="124"/>
        <v>5.9438614860384824</v>
      </c>
      <c r="J123" s="6">
        <f t="shared" si="124"/>
        <v>5.5192048951296231</v>
      </c>
      <c r="K123" s="6">
        <f t="shared" si="124"/>
        <v>5.3937004613238981</v>
      </c>
      <c r="L123" s="6">
        <f t="shared" si="124"/>
        <v>5.3184562305346574</v>
      </c>
      <c r="M123" s="6">
        <f t="shared" si="124"/>
        <v>5.7572838557416679</v>
      </c>
      <c r="N123" s="6">
        <f t="shared" si="124"/>
        <v>5.9857193795529149</v>
      </c>
      <c r="O123" s="6">
        <f t="shared" si="124"/>
        <v>6.2329680828662788</v>
      </c>
      <c r="P123" s="6">
        <f t="shared" si="124"/>
        <v>6.5260788107000431</v>
      </c>
      <c r="Q123" s="6">
        <f t="shared" si="124"/>
        <v>6.6767669275900605</v>
      </c>
      <c r="R123" s="6">
        <f t="shared" si="124"/>
        <v>6.6936671237527854</v>
      </c>
      <c r="S123" s="6">
        <f t="shared" si="124"/>
        <v>6.727836628433475</v>
      </c>
      <c r="T123" s="6">
        <f t="shared" si="124"/>
        <v>6.7488871088681188</v>
      </c>
      <c r="U123" s="6">
        <f t="shared" si="124"/>
        <v>6.7580295456421817</v>
      </c>
      <c r="V123" s="6">
        <f t="shared" si="124"/>
        <v>6.8001284019683306</v>
      </c>
      <c r="W123" s="6">
        <f t="shared" si="124"/>
        <v>6.8580828779809133</v>
      </c>
      <c r="X123" s="6">
        <f t="shared" si="124"/>
        <v>6.8218208802834761</v>
      </c>
      <c r="Y123" s="6">
        <f t="shared" si="124"/>
        <v>6.7759198402796885</v>
      </c>
      <c r="Z123" s="6">
        <f t="shared" si="124"/>
        <v>6.7993760221232478</v>
      </c>
      <c r="AA123" s="291">
        <f t="shared" si="124"/>
        <v>6.8250798840874172</v>
      </c>
      <c r="AB123" s="6">
        <f t="shared" si="124"/>
        <v>7.053375725657931</v>
      </c>
      <c r="AC123" s="6">
        <f t="shared" si="124"/>
        <v>1</v>
      </c>
      <c r="AD123" s="6">
        <f t="shared" si="124"/>
        <v>1</v>
      </c>
      <c r="AE123" s="6">
        <f t="shared" si="124"/>
        <v>1</v>
      </c>
      <c r="AF123" s="6">
        <f t="shared" si="124"/>
        <v>1</v>
      </c>
      <c r="AG123" s="6">
        <f t="shared" si="124"/>
        <v>1</v>
      </c>
      <c r="AH123" s="6">
        <f t="shared" si="124"/>
        <v>1</v>
      </c>
      <c r="AI123" s="6">
        <f t="shared" si="124"/>
        <v>1</v>
      </c>
      <c r="AJ123" s="6">
        <f t="shared" si="124"/>
        <v>1</v>
      </c>
      <c r="AK123" s="6">
        <f t="shared" si="124"/>
        <v>1</v>
      </c>
      <c r="AL123" s="6">
        <f t="shared" si="124"/>
        <v>1</v>
      </c>
      <c r="AM123" s="6">
        <f t="shared" si="124"/>
        <v>1</v>
      </c>
      <c r="AN123" s="6">
        <f t="shared" si="124"/>
        <v>1</v>
      </c>
      <c r="AO123" s="6">
        <f t="shared" si="124"/>
        <v>1</v>
      </c>
      <c r="AP123" s="6">
        <f t="shared" si="124"/>
        <v>1</v>
      </c>
      <c r="AQ123" s="6">
        <f t="shared" si="124"/>
        <v>1</v>
      </c>
      <c r="AR123" s="6">
        <f t="shared" si="124"/>
        <v>1</v>
      </c>
      <c r="AS123" s="6">
        <f t="shared" si="124"/>
        <v>1</v>
      </c>
    </row>
    <row r="124" spans="1:45" s="49" customFormat="1" x14ac:dyDescent="0.2">
      <c r="A124" s="47" t="s">
        <v>26</v>
      </c>
      <c r="B124" s="47"/>
      <c r="C124" s="79"/>
      <c r="D124" s="48"/>
      <c r="E124" s="48"/>
      <c r="F124" s="72">
        <f t="shared" ref="F124:AS124" si="125">IF(E121+E110=0,0,MAX((E120-(E121+E110))*E118/(E121+E110),0))</f>
        <v>0</v>
      </c>
      <c r="G124" s="72">
        <f t="shared" si="125"/>
        <v>0</v>
      </c>
      <c r="H124" s="72">
        <f t="shared" si="125"/>
        <v>0</v>
      </c>
      <c r="I124" s="72">
        <f t="shared" si="125"/>
        <v>0</v>
      </c>
      <c r="J124" s="72">
        <f t="shared" si="125"/>
        <v>0</v>
      </c>
      <c r="K124" s="72">
        <f t="shared" si="125"/>
        <v>0</v>
      </c>
      <c r="L124" s="72">
        <f t="shared" si="125"/>
        <v>0</v>
      </c>
      <c r="M124" s="72">
        <f t="shared" si="125"/>
        <v>0</v>
      </c>
      <c r="N124" s="72">
        <f t="shared" si="125"/>
        <v>0</v>
      </c>
      <c r="O124" s="72">
        <f t="shared" si="125"/>
        <v>0</v>
      </c>
      <c r="P124" s="72">
        <f t="shared" si="125"/>
        <v>0</v>
      </c>
      <c r="Q124" s="72">
        <f t="shared" si="125"/>
        <v>0</v>
      </c>
      <c r="R124" s="72">
        <f t="shared" si="125"/>
        <v>0</v>
      </c>
      <c r="S124" s="72">
        <f t="shared" si="125"/>
        <v>0</v>
      </c>
      <c r="T124" s="72">
        <f t="shared" si="125"/>
        <v>0</v>
      </c>
      <c r="U124" s="72">
        <f t="shared" si="125"/>
        <v>0</v>
      </c>
      <c r="V124" s="72">
        <f t="shared" si="125"/>
        <v>0</v>
      </c>
      <c r="W124" s="72">
        <f t="shared" si="125"/>
        <v>0</v>
      </c>
      <c r="X124" s="72">
        <f t="shared" si="125"/>
        <v>0</v>
      </c>
      <c r="Y124" s="72">
        <f t="shared" si="125"/>
        <v>0</v>
      </c>
      <c r="Z124" s="72">
        <f t="shared" si="125"/>
        <v>0</v>
      </c>
      <c r="AA124" s="292">
        <f t="shared" si="125"/>
        <v>0</v>
      </c>
      <c r="AB124" s="72">
        <f t="shared" si="125"/>
        <v>0</v>
      </c>
      <c r="AC124" s="72">
        <f t="shared" si="125"/>
        <v>0</v>
      </c>
      <c r="AD124" s="72">
        <f t="shared" si="125"/>
        <v>0</v>
      </c>
      <c r="AE124" s="72">
        <f t="shared" si="125"/>
        <v>0</v>
      </c>
      <c r="AF124" s="72">
        <f t="shared" si="125"/>
        <v>0</v>
      </c>
      <c r="AG124" s="72">
        <f t="shared" si="125"/>
        <v>0</v>
      </c>
      <c r="AH124" s="72">
        <f t="shared" si="125"/>
        <v>0</v>
      </c>
      <c r="AI124" s="72">
        <f t="shared" si="125"/>
        <v>0</v>
      </c>
      <c r="AJ124" s="72">
        <f t="shared" si="125"/>
        <v>0</v>
      </c>
      <c r="AK124" s="72">
        <f t="shared" si="125"/>
        <v>0</v>
      </c>
      <c r="AL124" s="72">
        <f t="shared" si="125"/>
        <v>0</v>
      </c>
      <c r="AM124" s="72">
        <f t="shared" si="125"/>
        <v>0</v>
      </c>
      <c r="AN124" s="72">
        <f t="shared" si="125"/>
        <v>0</v>
      </c>
      <c r="AO124" s="72">
        <f t="shared" si="125"/>
        <v>0</v>
      </c>
      <c r="AP124" s="72">
        <f t="shared" si="125"/>
        <v>0</v>
      </c>
      <c r="AQ124" s="72">
        <f t="shared" si="125"/>
        <v>0</v>
      </c>
      <c r="AR124" s="72">
        <f t="shared" si="125"/>
        <v>0</v>
      </c>
      <c r="AS124" s="72">
        <f t="shared" si="125"/>
        <v>0</v>
      </c>
    </row>
    <row r="125" spans="1:45" s="66" customFormat="1" ht="15.75" x14ac:dyDescent="0.25">
      <c r="A125" s="69" t="s">
        <v>25</v>
      </c>
      <c r="B125" s="69"/>
      <c r="C125" s="78"/>
      <c r="D125" s="70"/>
      <c r="E125" s="70"/>
      <c r="F125" s="71">
        <f t="shared" ref="F125:AS125" si="126">MAX(F116*F122+F117*F123-F124,F119)</f>
        <v>0.2</v>
      </c>
      <c r="G125" s="71">
        <f t="shared" si="126"/>
        <v>4.6524572033418226</v>
      </c>
      <c r="H125" s="71">
        <f t="shared" si="126"/>
        <v>1.1772460094160495</v>
      </c>
      <c r="I125" s="71">
        <f t="shared" si="126"/>
        <v>0.94157922290577245</v>
      </c>
      <c r="J125" s="71">
        <f t="shared" si="126"/>
        <v>0.87788073426944357</v>
      </c>
      <c r="K125" s="71">
        <f t="shared" si="126"/>
        <v>0.85905506919858476</v>
      </c>
      <c r="L125" s="71">
        <f t="shared" si="126"/>
        <v>0.84776843458019857</v>
      </c>
      <c r="M125" s="71">
        <f t="shared" si="126"/>
        <v>0.9135925783612503</v>
      </c>
      <c r="N125" s="71">
        <f t="shared" si="126"/>
        <v>0.94785790693293726</v>
      </c>
      <c r="O125" s="71">
        <f t="shared" si="126"/>
        <v>0.98494521242994182</v>
      </c>
      <c r="P125" s="71">
        <f t="shared" si="126"/>
        <v>1.0289118216050066</v>
      </c>
      <c r="Q125" s="71">
        <f t="shared" si="126"/>
        <v>1.0515150391385091</v>
      </c>
      <c r="R125" s="71">
        <f t="shared" si="126"/>
        <v>1.0540500685629177</v>
      </c>
      <c r="S125" s="71">
        <f t="shared" si="126"/>
        <v>1.0591754942650213</v>
      </c>
      <c r="T125" s="71">
        <f t="shared" si="126"/>
        <v>1.062333066330218</v>
      </c>
      <c r="U125" s="71">
        <f t="shared" si="126"/>
        <v>1.0637044318463273</v>
      </c>
      <c r="V125" s="71">
        <f t="shared" si="126"/>
        <v>1.0700192602952496</v>
      </c>
      <c r="W125" s="71">
        <f t="shared" si="126"/>
        <v>1.078712431697137</v>
      </c>
      <c r="X125" s="71">
        <f t="shared" si="126"/>
        <v>1.0732731320425215</v>
      </c>
      <c r="Y125" s="71">
        <f t="shared" si="126"/>
        <v>1.0663879760419535</v>
      </c>
      <c r="Z125" s="71">
        <f t="shared" si="126"/>
        <v>1.0699064033184871</v>
      </c>
      <c r="AA125" s="293">
        <f t="shared" si="126"/>
        <v>1.0737619826131126</v>
      </c>
      <c r="AB125" s="110">
        <f t="shared" si="126"/>
        <v>1.1080063588486897</v>
      </c>
      <c r="AC125" s="71">
        <f t="shared" si="126"/>
        <v>0.2</v>
      </c>
      <c r="AD125" s="71">
        <f t="shared" si="126"/>
        <v>0.2</v>
      </c>
      <c r="AE125" s="71">
        <f t="shared" si="126"/>
        <v>0.2</v>
      </c>
      <c r="AF125" s="71">
        <f t="shared" si="126"/>
        <v>0.2</v>
      </c>
      <c r="AG125" s="71">
        <f t="shared" si="126"/>
        <v>0.2</v>
      </c>
      <c r="AH125" s="71">
        <f t="shared" si="126"/>
        <v>0.2</v>
      </c>
      <c r="AI125" s="71">
        <f t="shared" si="126"/>
        <v>0.2</v>
      </c>
      <c r="AJ125" s="71">
        <f t="shared" si="126"/>
        <v>0.2</v>
      </c>
      <c r="AK125" s="71">
        <f t="shared" si="126"/>
        <v>0.2</v>
      </c>
      <c r="AL125" s="71">
        <f t="shared" si="126"/>
        <v>0.2</v>
      </c>
      <c r="AM125" s="71">
        <f t="shared" si="126"/>
        <v>0.2</v>
      </c>
      <c r="AN125" s="71">
        <f t="shared" si="126"/>
        <v>0.2</v>
      </c>
      <c r="AO125" s="71">
        <f t="shared" si="126"/>
        <v>0.2</v>
      </c>
      <c r="AP125" s="71">
        <f t="shared" si="126"/>
        <v>0.2</v>
      </c>
      <c r="AQ125" s="71">
        <f t="shared" si="126"/>
        <v>0.2</v>
      </c>
      <c r="AR125" s="71">
        <f t="shared" si="126"/>
        <v>0.2</v>
      </c>
      <c r="AS125" s="71">
        <f t="shared" si="126"/>
        <v>0.2</v>
      </c>
    </row>
    <row r="126" spans="1:45" x14ac:dyDescent="0.2">
      <c r="D126" s="1"/>
      <c r="E126" s="1"/>
    </row>
    <row r="127" spans="1:45" x14ac:dyDescent="0.2">
      <c r="A127" s="73" t="s">
        <v>118</v>
      </c>
      <c r="B127" s="73"/>
      <c r="F127" s="3">
        <f>-F113</f>
        <v>0</v>
      </c>
      <c r="G127" s="3">
        <f t="shared" ref="G127:AS127" si="127">-G113</f>
        <v>0</v>
      </c>
      <c r="H127" s="3">
        <f t="shared" si="127"/>
        <v>0</v>
      </c>
      <c r="I127" s="3">
        <f t="shared" si="127"/>
        <v>0</v>
      </c>
      <c r="J127" s="3">
        <f t="shared" si="127"/>
        <v>0</v>
      </c>
      <c r="K127" s="3">
        <f t="shared" si="127"/>
        <v>0</v>
      </c>
      <c r="L127" s="3">
        <f t="shared" si="127"/>
        <v>0</v>
      </c>
      <c r="M127" s="3">
        <f t="shared" si="127"/>
        <v>0</v>
      </c>
      <c r="N127" s="3">
        <f t="shared" si="127"/>
        <v>0</v>
      </c>
      <c r="O127" s="3">
        <f t="shared" si="127"/>
        <v>0</v>
      </c>
      <c r="P127" s="3">
        <f t="shared" si="127"/>
        <v>0</v>
      </c>
      <c r="Q127" s="3">
        <f t="shared" si="127"/>
        <v>0</v>
      </c>
      <c r="R127" s="3">
        <f t="shared" si="127"/>
        <v>0</v>
      </c>
      <c r="S127" s="3">
        <f t="shared" si="127"/>
        <v>0</v>
      </c>
      <c r="T127" s="3">
        <f t="shared" si="127"/>
        <v>0</v>
      </c>
      <c r="U127" s="3">
        <f t="shared" si="127"/>
        <v>0</v>
      </c>
      <c r="V127" s="3">
        <f t="shared" si="127"/>
        <v>0</v>
      </c>
      <c r="W127" s="3">
        <f t="shared" si="127"/>
        <v>0</v>
      </c>
      <c r="X127" s="3">
        <f t="shared" si="127"/>
        <v>0</v>
      </c>
      <c r="Y127" s="3">
        <f t="shared" si="127"/>
        <v>0</v>
      </c>
      <c r="Z127" s="3">
        <f t="shared" si="127"/>
        <v>0</v>
      </c>
      <c r="AA127" s="3">
        <f t="shared" si="127"/>
        <v>0</v>
      </c>
      <c r="AB127" s="3">
        <f t="shared" si="127"/>
        <v>-14381643537.422455</v>
      </c>
      <c r="AC127" s="3">
        <f t="shared" si="127"/>
        <v>0</v>
      </c>
      <c r="AD127" s="3">
        <f t="shared" si="127"/>
        <v>0</v>
      </c>
      <c r="AE127" s="3">
        <f t="shared" si="127"/>
        <v>0</v>
      </c>
      <c r="AF127" s="3">
        <f t="shared" si="127"/>
        <v>0</v>
      </c>
      <c r="AG127" s="3">
        <f t="shared" si="127"/>
        <v>0</v>
      </c>
      <c r="AH127" s="3">
        <f t="shared" si="127"/>
        <v>0</v>
      </c>
      <c r="AI127" s="3">
        <f t="shared" si="127"/>
        <v>0</v>
      </c>
      <c r="AJ127" s="3">
        <f t="shared" si="127"/>
        <v>0</v>
      </c>
      <c r="AK127" s="3">
        <f t="shared" si="127"/>
        <v>0</v>
      </c>
      <c r="AL127" s="3">
        <f t="shared" si="127"/>
        <v>0</v>
      </c>
      <c r="AM127" s="3">
        <f t="shared" si="127"/>
        <v>0</v>
      </c>
      <c r="AN127" s="3">
        <f t="shared" si="127"/>
        <v>0</v>
      </c>
      <c r="AO127" s="3">
        <f t="shared" si="127"/>
        <v>0</v>
      </c>
      <c r="AP127" s="3">
        <f t="shared" si="127"/>
        <v>0</v>
      </c>
      <c r="AQ127" s="3">
        <f t="shared" si="127"/>
        <v>0</v>
      </c>
      <c r="AR127" s="3">
        <f t="shared" si="127"/>
        <v>0</v>
      </c>
      <c r="AS127" s="3">
        <f t="shared" si="127"/>
        <v>0</v>
      </c>
    </row>
    <row r="128" spans="1:45" x14ac:dyDescent="0.2">
      <c r="A128" s="73" t="s">
        <v>19</v>
      </c>
      <c r="B128" s="73"/>
      <c r="D128" s="74" t="e">
        <f>(1+IRR(F127:AS127,5%))^4-1</f>
        <v>#NUM!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294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</row>
    <row r="129" spans="1:46" x14ac:dyDescent="0.2">
      <c r="A129" s="41"/>
      <c r="B129" s="4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295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1:46" s="2" customFormat="1" ht="15.75" x14ac:dyDescent="0.25">
      <c r="A130" s="2" t="s">
        <v>101</v>
      </c>
      <c r="C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286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</row>
    <row r="131" spans="1:46" s="28" customFormat="1" x14ac:dyDescent="0.2">
      <c r="C131" s="80"/>
      <c r="D131" s="59"/>
      <c r="E131" s="59"/>
      <c r="AA131" s="296"/>
    </row>
    <row r="132" spans="1:46" s="28" customFormat="1" x14ac:dyDescent="0.2">
      <c r="A132" s="1" t="s">
        <v>150</v>
      </c>
      <c r="B132" s="1"/>
      <c r="C132" s="101">
        <f>SUM(F132:AS132)</f>
        <v>8323714721.4358091</v>
      </c>
      <c r="D132" s="34">
        <v>0.1</v>
      </c>
      <c r="E132" s="8"/>
      <c r="F132" s="351">
        <f>F111</f>
        <v>837011398.32397246</v>
      </c>
      <c r="G132" s="3">
        <f>G18*$D$132</f>
        <v>68917524.666066453</v>
      </c>
      <c r="H132" s="3">
        <f t="shared" ref="H132:AS132" si="128">H18*$D$132</f>
        <v>173936661.17789865</v>
      </c>
      <c r="I132" s="3">
        <f t="shared" si="128"/>
        <v>177051940.65614867</v>
      </c>
      <c r="J132" s="3">
        <f t="shared" si="128"/>
        <v>177051940.65614867</v>
      </c>
      <c r="K132" s="3">
        <f t="shared" si="128"/>
        <v>316727083.57964867</v>
      </c>
      <c r="L132" s="3">
        <f t="shared" si="128"/>
        <v>234082408.72088158</v>
      </c>
      <c r="M132" s="3">
        <f t="shared" si="128"/>
        <v>360804852.72021753</v>
      </c>
      <c r="N132" s="3">
        <f t="shared" si="128"/>
        <v>337975060.44787782</v>
      </c>
      <c r="O132" s="3">
        <f t="shared" si="128"/>
        <v>237627598.70932165</v>
      </c>
      <c r="P132" s="3">
        <f t="shared" si="128"/>
        <v>296302634.12387532</v>
      </c>
      <c r="Q132" s="3">
        <f t="shared" si="128"/>
        <v>409108366.49694115</v>
      </c>
      <c r="R132" s="3">
        <f t="shared" si="128"/>
        <v>419888428.30059052</v>
      </c>
      <c r="S132" s="3">
        <f t="shared" si="128"/>
        <v>451915160.63263059</v>
      </c>
      <c r="T132" s="3">
        <f t="shared" si="128"/>
        <v>456390502.78775769</v>
      </c>
      <c r="U132" s="3">
        <f t="shared" si="128"/>
        <v>429542206.02298856</v>
      </c>
      <c r="V132" s="3">
        <f t="shared" si="128"/>
        <v>460541071.51304162</v>
      </c>
      <c r="W132" s="3">
        <f t="shared" si="128"/>
        <v>570230209.75909007</v>
      </c>
      <c r="X132" s="3">
        <f t="shared" si="128"/>
        <v>562513718.41561258</v>
      </c>
      <c r="Y132" s="3">
        <f t="shared" si="128"/>
        <v>481669337.32165474</v>
      </c>
      <c r="Z132" s="3">
        <f t="shared" si="128"/>
        <v>456012132.47936434</v>
      </c>
      <c r="AA132" s="3">
        <f t="shared" si="128"/>
        <v>41850315.010856852</v>
      </c>
      <c r="AB132" s="3">
        <f t="shared" si="128"/>
        <v>43647747.890639529</v>
      </c>
      <c r="AC132" s="3">
        <f t="shared" si="128"/>
        <v>40769331.640579976</v>
      </c>
      <c r="AD132" s="3">
        <f t="shared" si="128"/>
        <v>41325687.742932908</v>
      </c>
      <c r="AE132" s="3">
        <f t="shared" si="128"/>
        <v>42792147.298614055</v>
      </c>
      <c r="AF132" s="3">
        <f t="shared" si="128"/>
        <v>38146292.845607415</v>
      </c>
      <c r="AG132" s="3">
        <f t="shared" si="128"/>
        <v>31930116.18908453</v>
      </c>
      <c r="AH132" s="3">
        <f t="shared" si="128"/>
        <v>23792119.200732403</v>
      </c>
      <c r="AI132" s="3">
        <f t="shared" si="128"/>
        <v>19285385.452711936</v>
      </c>
      <c r="AJ132" s="3">
        <f t="shared" si="128"/>
        <v>17773716.469082337</v>
      </c>
      <c r="AK132" s="3">
        <f t="shared" si="128"/>
        <v>18390235.169136591</v>
      </c>
      <c r="AL132" s="3">
        <f t="shared" si="128"/>
        <v>18655024.159527708</v>
      </c>
      <c r="AM132" s="3">
        <f t="shared" si="128"/>
        <v>13373054.428430211</v>
      </c>
      <c r="AN132" s="3">
        <f t="shared" si="128"/>
        <v>10755718.172566719</v>
      </c>
      <c r="AO132" s="3">
        <f t="shared" si="128"/>
        <v>3770905.1532912799</v>
      </c>
      <c r="AP132" s="3">
        <f t="shared" si="128"/>
        <v>660081.47138354601</v>
      </c>
      <c r="AQ132" s="3">
        <f t="shared" si="128"/>
        <v>673283.10081121686</v>
      </c>
      <c r="AR132" s="3">
        <f t="shared" si="128"/>
        <v>823322.52809029899</v>
      </c>
      <c r="AS132" s="3">
        <f t="shared" si="128"/>
        <v>0</v>
      </c>
    </row>
    <row r="133" spans="1:46" s="28" customFormat="1" x14ac:dyDescent="0.2">
      <c r="A133" s="1" t="s">
        <v>125</v>
      </c>
      <c r="B133" s="1"/>
      <c r="C133" s="36">
        <f>SUM(F133:AS133)</f>
        <v>33885431101.640934</v>
      </c>
      <c r="D133" s="8"/>
      <c r="E133" s="8"/>
      <c r="F133" s="52">
        <f>F15-F18-F81</f>
        <v>2162462613.3625078</v>
      </c>
      <c r="G133" s="52">
        <f t="shared" ref="G133:AS133" si="129">G15-G18-G81</f>
        <v>637861286.74254787</v>
      </c>
      <c r="H133" s="52">
        <f t="shared" si="129"/>
        <v>-828962623.32146442</v>
      </c>
      <c r="I133" s="52">
        <f t="shared" si="129"/>
        <v>-625148248.14487147</v>
      </c>
      <c r="J133" s="52">
        <f t="shared" si="129"/>
        <v>-804405116.23262119</v>
      </c>
      <c r="K133" s="52">
        <f t="shared" si="129"/>
        <v>-661147716.37485504</v>
      </c>
      <c r="L133" s="52">
        <f t="shared" si="129"/>
        <v>641538695.48217201</v>
      </c>
      <c r="M133" s="52">
        <f t="shared" si="129"/>
        <v>8648849.0784077533</v>
      </c>
      <c r="N133" s="52">
        <f t="shared" si="129"/>
        <v>500483618.14256525</v>
      </c>
      <c r="O133" s="52">
        <f t="shared" si="129"/>
        <v>1013800232.9357166</v>
      </c>
      <c r="P133" s="52">
        <f t="shared" si="129"/>
        <v>1056592794.8399577</v>
      </c>
      <c r="Q133" s="52">
        <f t="shared" si="129"/>
        <v>465702017.66966009</v>
      </c>
      <c r="R133" s="52">
        <f t="shared" si="129"/>
        <v>687580750.66489267</v>
      </c>
      <c r="S133" s="52">
        <f t="shared" si="129"/>
        <v>800804581.80301666</v>
      </c>
      <c r="T133" s="52">
        <f t="shared" si="129"/>
        <v>645566746.68428802</v>
      </c>
      <c r="U133" s="52">
        <f t="shared" si="129"/>
        <v>1320960724.4484692</v>
      </c>
      <c r="V133" s="52">
        <f t="shared" si="129"/>
        <v>1338798674.1901426</v>
      </c>
      <c r="W133" s="52">
        <f t="shared" si="129"/>
        <v>267586385.89473057</v>
      </c>
      <c r="X133" s="52">
        <f t="shared" si="129"/>
        <v>452850738.52942944</v>
      </c>
      <c r="Y133" s="52">
        <f t="shared" si="129"/>
        <v>1443041771.7806816</v>
      </c>
      <c r="Z133" s="52">
        <f t="shared" si="129"/>
        <v>671373705.72947407</v>
      </c>
      <c r="AA133" s="52">
        <f t="shared" si="129"/>
        <v>-2169915671.0040827</v>
      </c>
      <c r="AB133" s="52">
        <f t="shared" si="129"/>
        <v>4884635536.9054604</v>
      </c>
      <c r="AC133" s="52">
        <f t="shared" si="129"/>
        <v>4477742381.3896923</v>
      </c>
      <c r="AD133" s="52">
        <f t="shared" si="129"/>
        <v>4605458612.5876408</v>
      </c>
      <c r="AE133" s="52">
        <f t="shared" si="129"/>
        <v>4901683022.3112335</v>
      </c>
      <c r="AF133" s="52">
        <f t="shared" si="129"/>
        <v>3439007357.9563007</v>
      </c>
      <c r="AG133" s="52">
        <f t="shared" si="129"/>
        <v>2753358765.7033896</v>
      </c>
      <c r="AH133" s="52">
        <f t="shared" si="129"/>
        <v>839077872.93678546</v>
      </c>
      <c r="AI133" s="52">
        <f t="shared" si="129"/>
        <v>-192853854.52711937</v>
      </c>
      <c r="AJ133" s="52">
        <f t="shared" si="129"/>
        <v>-177737164.69082338</v>
      </c>
      <c r="AK133" s="52">
        <f t="shared" si="129"/>
        <v>-183902351.6913659</v>
      </c>
      <c r="AL133" s="52">
        <f t="shared" si="129"/>
        <v>-186550241.59527707</v>
      </c>
      <c r="AM133" s="52">
        <f t="shared" si="129"/>
        <v>-133730544.2843021</v>
      </c>
      <c r="AN133" s="52">
        <f t="shared" si="129"/>
        <v>-107557181.72566719</v>
      </c>
      <c r="AO133" s="52">
        <f t="shared" si="129"/>
        <v>-37709051.532912798</v>
      </c>
      <c r="AP133" s="52">
        <f t="shared" si="129"/>
        <v>-6600814.7138354592</v>
      </c>
      <c r="AQ133" s="52">
        <f t="shared" si="129"/>
        <v>-6732831.0081121679</v>
      </c>
      <c r="AR133" s="52">
        <f t="shared" si="129"/>
        <v>-8233225.2809029892</v>
      </c>
      <c r="AS133" s="52">
        <f t="shared" si="129"/>
        <v>0</v>
      </c>
    </row>
    <row r="134" spans="1:46" x14ac:dyDescent="0.2">
      <c r="A134" s="1" t="s">
        <v>36</v>
      </c>
      <c r="F134" s="3">
        <f t="shared" ref="F134:AS134" si="130">(F97+F98++F100+F101)*F6</f>
        <v>0</v>
      </c>
      <c r="G134" s="3">
        <f t="shared" si="130"/>
        <v>0</v>
      </c>
      <c r="H134" s="3">
        <f t="shared" si="130"/>
        <v>0</v>
      </c>
      <c r="I134" s="3">
        <f t="shared" si="130"/>
        <v>0</v>
      </c>
      <c r="J134" s="3">
        <f t="shared" si="130"/>
        <v>0</v>
      </c>
      <c r="K134" s="3">
        <f t="shared" si="130"/>
        <v>0</v>
      </c>
      <c r="L134" s="3">
        <f t="shared" si="130"/>
        <v>0</v>
      </c>
      <c r="M134" s="3">
        <f t="shared" si="130"/>
        <v>0</v>
      </c>
      <c r="N134" s="3">
        <f t="shared" si="130"/>
        <v>0</v>
      </c>
      <c r="O134" s="3">
        <f t="shared" si="130"/>
        <v>0</v>
      </c>
      <c r="P134" s="3">
        <f t="shared" si="130"/>
        <v>0</v>
      </c>
      <c r="Q134" s="3">
        <f t="shared" si="130"/>
        <v>0</v>
      </c>
      <c r="R134" s="3">
        <f t="shared" si="130"/>
        <v>0</v>
      </c>
      <c r="S134" s="3">
        <f t="shared" si="130"/>
        <v>0</v>
      </c>
      <c r="T134" s="3">
        <f t="shared" si="130"/>
        <v>0</v>
      </c>
      <c r="U134" s="3">
        <f t="shared" si="130"/>
        <v>0</v>
      </c>
      <c r="V134" s="3">
        <f t="shared" si="130"/>
        <v>0</v>
      </c>
      <c r="W134" s="3">
        <f t="shared" si="130"/>
        <v>0</v>
      </c>
      <c r="X134" s="3">
        <f t="shared" si="130"/>
        <v>0</v>
      </c>
      <c r="Y134" s="3">
        <f t="shared" si="130"/>
        <v>0</v>
      </c>
      <c r="Z134" s="3">
        <f t="shared" si="130"/>
        <v>0</v>
      </c>
      <c r="AA134" s="288">
        <f t="shared" si="130"/>
        <v>0</v>
      </c>
      <c r="AB134" s="3">
        <f t="shared" si="130"/>
        <v>0</v>
      </c>
      <c r="AC134" s="3">
        <f t="shared" si="130"/>
        <v>0</v>
      </c>
      <c r="AD134" s="3">
        <f t="shared" si="130"/>
        <v>0</v>
      </c>
      <c r="AE134" s="3">
        <f t="shared" si="130"/>
        <v>0</v>
      </c>
      <c r="AF134" s="3">
        <f t="shared" si="130"/>
        <v>0</v>
      </c>
      <c r="AG134" s="3">
        <f t="shared" si="130"/>
        <v>0</v>
      </c>
      <c r="AH134" s="3">
        <f t="shared" si="130"/>
        <v>0</v>
      </c>
      <c r="AI134" s="3">
        <f t="shared" si="130"/>
        <v>0</v>
      </c>
      <c r="AJ134" s="3">
        <f t="shared" si="130"/>
        <v>0</v>
      </c>
      <c r="AK134" s="3">
        <f t="shared" si="130"/>
        <v>0</v>
      </c>
      <c r="AL134" s="3">
        <f t="shared" si="130"/>
        <v>0</v>
      </c>
      <c r="AM134" s="3">
        <f t="shared" si="130"/>
        <v>0</v>
      </c>
      <c r="AN134" s="3">
        <f t="shared" si="130"/>
        <v>0</v>
      </c>
      <c r="AO134" s="3">
        <f t="shared" si="130"/>
        <v>0</v>
      </c>
      <c r="AP134" s="3">
        <f t="shared" si="130"/>
        <v>0</v>
      </c>
      <c r="AQ134" s="3">
        <f t="shared" si="130"/>
        <v>0</v>
      </c>
      <c r="AR134" s="3">
        <f t="shared" si="130"/>
        <v>0</v>
      </c>
      <c r="AS134" s="3">
        <f t="shared" si="130"/>
        <v>0</v>
      </c>
    </row>
    <row r="135" spans="1:46" x14ac:dyDescent="0.2">
      <c r="A135" s="1" t="s">
        <v>37</v>
      </c>
      <c r="F135" s="3">
        <f>E137</f>
        <v>0</v>
      </c>
      <c r="G135" s="3">
        <f>F137</f>
        <v>2999474011.6864805</v>
      </c>
      <c r="H135" s="3">
        <f t="shared" ref="H135:AS135" si="131">G137</f>
        <v>3706252823.0950947</v>
      </c>
      <c r="I135" s="3">
        <f t="shared" si="131"/>
        <v>3051226860.951529</v>
      </c>
      <c r="J135" s="3">
        <f t="shared" si="131"/>
        <v>2603130553.4628062</v>
      </c>
      <c r="K135" s="3">
        <f t="shared" si="131"/>
        <v>1975777377.8863337</v>
      </c>
      <c r="L135" s="3">
        <f t="shared" si="131"/>
        <v>1631356745.0911274</v>
      </c>
      <c r="M135" s="3">
        <f t="shared" si="131"/>
        <v>2506977849.2941809</v>
      </c>
      <c r="N135" s="3">
        <f t="shared" si="131"/>
        <v>2876431551.0928063</v>
      </c>
      <c r="O135" s="3">
        <f t="shared" si="131"/>
        <v>3714890229.6832495</v>
      </c>
      <c r="P135" s="3">
        <f t="shared" si="131"/>
        <v>4966318061.3282881</v>
      </c>
      <c r="Q135" s="3">
        <f t="shared" si="131"/>
        <v>6319213490.2921209</v>
      </c>
      <c r="R135" s="3">
        <f t="shared" si="131"/>
        <v>7194023874.4587221</v>
      </c>
      <c r="S135" s="3">
        <f t="shared" si="131"/>
        <v>8301493053.4242058</v>
      </c>
      <c r="T135" s="3">
        <f t="shared" si="131"/>
        <v>9554212795.8598537</v>
      </c>
      <c r="U135" s="3">
        <f t="shared" si="131"/>
        <v>10656170045.3319</v>
      </c>
      <c r="V135" s="3">
        <f t="shared" si="131"/>
        <v>12406672975.803358</v>
      </c>
      <c r="W135" s="3">
        <f t="shared" si="131"/>
        <v>14206012721.506542</v>
      </c>
      <c r="X135" s="3">
        <f t="shared" si="131"/>
        <v>15043829317.160362</v>
      </c>
      <c r="Y135" s="3">
        <f t="shared" si="131"/>
        <v>16059193774.105404</v>
      </c>
      <c r="Z135" s="3">
        <f t="shared" si="131"/>
        <v>17983904883.207741</v>
      </c>
      <c r="AA135" s="288">
        <f t="shared" si="131"/>
        <v>19111290721.41658</v>
      </c>
      <c r="AB135" s="3">
        <f t="shared" si="131"/>
        <v>16983225365.423355</v>
      </c>
      <c r="AC135" s="3">
        <f t="shared" si="131"/>
        <v>36293152187.641907</v>
      </c>
      <c r="AD135" s="3">
        <f t="shared" si="131"/>
        <v>40811663900.67218</v>
      </c>
      <c r="AE135" s="3">
        <f t="shared" si="131"/>
        <v>45458448201.002754</v>
      </c>
      <c r="AF135" s="3">
        <f t="shared" si="131"/>
        <v>50402923370.612602</v>
      </c>
      <c r="AG135" s="3">
        <f t="shared" si="131"/>
        <v>53880077021.414513</v>
      </c>
      <c r="AH135" s="3">
        <f t="shared" si="131"/>
        <v>56665365903.306984</v>
      </c>
      <c r="AI135" s="3">
        <f t="shared" si="131"/>
        <v>57528235895.444504</v>
      </c>
      <c r="AJ135" s="3">
        <f t="shared" si="131"/>
        <v>57354667426.370094</v>
      </c>
      <c r="AK135" s="3">
        <f t="shared" si="131"/>
        <v>57194703978.148354</v>
      </c>
      <c r="AL135" s="3">
        <f t="shared" si="131"/>
        <v>57029191861.626122</v>
      </c>
      <c r="AM135" s="3">
        <f t="shared" si="131"/>
        <v>56861296644.190369</v>
      </c>
      <c r="AN135" s="3">
        <f t="shared" si="131"/>
        <v>56740939154.334496</v>
      </c>
      <c r="AO135" s="3">
        <f t="shared" si="131"/>
        <v>56644137690.781395</v>
      </c>
      <c r="AP135" s="3">
        <f t="shared" si="131"/>
        <v>56610199544.401772</v>
      </c>
      <c r="AQ135" s="3">
        <f t="shared" si="131"/>
        <v>56604258811.159317</v>
      </c>
      <c r="AR135" s="3">
        <f t="shared" si="131"/>
        <v>56598199263.252014</v>
      </c>
      <c r="AS135" s="3">
        <f t="shared" si="131"/>
        <v>56590789360.499199</v>
      </c>
    </row>
    <row r="136" spans="1:46" x14ac:dyDescent="0.2">
      <c r="A136" s="88" t="s">
        <v>124</v>
      </c>
      <c r="B136" s="88"/>
      <c r="C136" s="36">
        <f>SUM(F136:AS136)</f>
        <v>56590789360.499199</v>
      </c>
      <c r="F136" s="3">
        <f>F133+F132+F134+F113+F112</f>
        <v>2999474011.6864805</v>
      </c>
      <c r="G136" s="3">
        <f>G133+G132+G134+G113+G112</f>
        <v>706778811.40861428</v>
      </c>
      <c r="H136" s="3">
        <f t="shared" ref="H136:AT136" si="132">H133+H132+H134+H113+H112</f>
        <v>-655025962.14356577</v>
      </c>
      <c r="I136" s="3">
        <f t="shared" si="132"/>
        <v>-448096307.4887228</v>
      </c>
      <c r="J136" s="3">
        <f t="shared" si="132"/>
        <v>-627353175.57647252</v>
      </c>
      <c r="K136" s="3">
        <f t="shared" si="132"/>
        <v>-344420632.79520637</v>
      </c>
      <c r="L136" s="3">
        <f t="shared" si="132"/>
        <v>875621104.20305359</v>
      </c>
      <c r="M136" s="3">
        <f t="shared" si="132"/>
        <v>369453701.79862529</v>
      </c>
      <c r="N136" s="3">
        <f t="shared" si="132"/>
        <v>838458678.59044313</v>
      </c>
      <c r="O136" s="3">
        <f t="shared" si="132"/>
        <v>1251427831.6450384</v>
      </c>
      <c r="P136" s="3">
        <f t="shared" si="132"/>
        <v>1352895428.9638331</v>
      </c>
      <c r="Q136" s="3">
        <f t="shared" si="132"/>
        <v>874810384.16660118</v>
      </c>
      <c r="R136" s="3">
        <f t="shared" si="132"/>
        <v>1107469178.9654832</v>
      </c>
      <c r="S136" s="3">
        <f t="shared" si="132"/>
        <v>1252719742.4356472</v>
      </c>
      <c r="T136" s="3">
        <f t="shared" si="132"/>
        <v>1101957249.4720457</v>
      </c>
      <c r="U136" s="3">
        <f t="shared" si="132"/>
        <v>1750502930.4714577</v>
      </c>
      <c r="V136" s="3">
        <f t="shared" si="132"/>
        <v>1799339745.7031841</v>
      </c>
      <c r="W136" s="3">
        <f t="shared" si="132"/>
        <v>837816595.65382063</v>
      </c>
      <c r="X136" s="3">
        <f t="shared" si="132"/>
        <v>1015364456.945042</v>
      </c>
      <c r="Y136" s="3">
        <f t="shared" si="132"/>
        <v>1924711109.1023364</v>
      </c>
      <c r="Z136" s="3">
        <f t="shared" si="132"/>
        <v>1127385838.2088385</v>
      </c>
      <c r="AA136" s="3">
        <f t="shared" si="132"/>
        <v>-2128065355.9932258</v>
      </c>
      <c r="AB136" s="3">
        <f t="shared" si="132"/>
        <v>19309926822.218555</v>
      </c>
      <c r="AC136" s="3">
        <f t="shared" si="132"/>
        <v>4518511713.0302725</v>
      </c>
      <c r="AD136" s="3">
        <f t="shared" si="132"/>
        <v>4646784300.330574</v>
      </c>
      <c r="AE136" s="3">
        <f t="shared" si="132"/>
        <v>4944475169.609848</v>
      </c>
      <c r="AF136" s="3">
        <f t="shared" si="132"/>
        <v>3477153650.801908</v>
      </c>
      <c r="AG136" s="3">
        <f t="shared" si="132"/>
        <v>2785288881.8924742</v>
      </c>
      <c r="AH136" s="3">
        <f t="shared" si="132"/>
        <v>862869992.13751781</v>
      </c>
      <c r="AI136" s="3">
        <f t="shared" si="132"/>
        <v>-173568469.07440743</v>
      </c>
      <c r="AJ136" s="3">
        <f t="shared" si="132"/>
        <v>-159963448.22174105</v>
      </c>
      <c r="AK136" s="3">
        <f t="shared" si="132"/>
        <v>-165512116.52222931</v>
      </c>
      <c r="AL136" s="3">
        <f t="shared" si="132"/>
        <v>-167895217.43574935</v>
      </c>
      <c r="AM136" s="3">
        <f t="shared" si="132"/>
        <v>-120357489.85587189</v>
      </c>
      <c r="AN136" s="3">
        <f t="shared" si="132"/>
        <v>-96801463.553100467</v>
      </c>
      <c r="AO136" s="3">
        <f t="shared" si="132"/>
        <v>-33938146.379621521</v>
      </c>
      <c r="AP136" s="3">
        <f t="shared" si="132"/>
        <v>-5940733.2424519137</v>
      </c>
      <c r="AQ136" s="3">
        <f t="shared" si="132"/>
        <v>-6059547.907300951</v>
      </c>
      <c r="AR136" s="3">
        <f t="shared" si="132"/>
        <v>-7409902.7528126901</v>
      </c>
      <c r="AS136" s="3">
        <f t="shared" si="132"/>
        <v>0</v>
      </c>
      <c r="AT136" s="3">
        <f t="shared" si="132"/>
        <v>0</v>
      </c>
    </row>
    <row r="137" spans="1:46" x14ac:dyDescent="0.2">
      <c r="A137" s="1" t="s">
        <v>38</v>
      </c>
      <c r="F137" s="3">
        <f>F136+F135</f>
        <v>2999474011.6864805</v>
      </c>
      <c r="G137" s="3">
        <f>G136+G135</f>
        <v>3706252823.0950947</v>
      </c>
      <c r="H137" s="3">
        <f t="shared" ref="H137:AS137" si="133">H136+H135</f>
        <v>3051226860.951529</v>
      </c>
      <c r="I137" s="3">
        <f t="shared" si="133"/>
        <v>2603130553.4628062</v>
      </c>
      <c r="J137" s="3">
        <f t="shared" si="133"/>
        <v>1975777377.8863337</v>
      </c>
      <c r="K137" s="3">
        <f t="shared" si="133"/>
        <v>1631356745.0911274</v>
      </c>
      <c r="L137" s="3">
        <f t="shared" si="133"/>
        <v>2506977849.2941809</v>
      </c>
      <c r="M137" s="3">
        <f t="shared" si="133"/>
        <v>2876431551.0928063</v>
      </c>
      <c r="N137" s="3">
        <f t="shared" si="133"/>
        <v>3714890229.6832495</v>
      </c>
      <c r="O137" s="3">
        <f t="shared" si="133"/>
        <v>4966318061.3282881</v>
      </c>
      <c r="P137" s="3">
        <f t="shared" si="133"/>
        <v>6319213490.2921209</v>
      </c>
      <c r="Q137" s="3">
        <f t="shared" si="133"/>
        <v>7194023874.4587221</v>
      </c>
      <c r="R137" s="3">
        <f t="shared" si="133"/>
        <v>8301493053.4242058</v>
      </c>
      <c r="S137" s="3">
        <f t="shared" si="133"/>
        <v>9554212795.8598537</v>
      </c>
      <c r="T137" s="3">
        <f t="shared" si="133"/>
        <v>10656170045.3319</v>
      </c>
      <c r="U137" s="3">
        <f t="shared" si="133"/>
        <v>12406672975.803358</v>
      </c>
      <c r="V137" s="3">
        <f t="shared" si="133"/>
        <v>14206012721.506542</v>
      </c>
      <c r="W137" s="3">
        <f t="shared" si="133"/>
        <v>15043829317.160362</v>
      </c>
      <c r="X137" s="3">
        <f t="shared" si="133"/>
        <v>16059193774.105404</v>
      </c>
      <c r="Y137" s="3">
        <f t="shared" si="133"/>
        <v>17983904883.207741</v>
      </c>
      <c r="Z137" s="3">
        <f t="shared" si="133"/>
        <v>19111290721.41658</v>
      </c>
      <c r="AA137" s="288">
        <f t="shared" si="133"/>
        <v>16983225365.423355</v>
      </c>
      <c r="AB137" s="3">
        <f t="shared" si="133"/>
        <v>36293152187.641907</v>
      </c>
      <c r="AC137" s="3">
        <f t="shared" si="133"/>
        <v>40811663900.67218</v>
      </c>
      <c r="AD137" s="3">
        <f t="shared" si="133"/>
        <v>45458448201.002754</v>
      </c>
      <c r="AE137" s="3">
        <f t="shared" si="133"/>
        <v>50402923370.612602</v>
      </c>
      <c r="AF137" s="3">
        <f t="shared" si="133"/>
        <v>53880077021.414513</v>
      </c>
      <c r="AG137" s="3">
        <f t="shared" si="133"/>
        <v>56665365903.306984</v>
      </c>
      <c r="AH137" s="3">
        <f t="shared" si="133"/>
        <v>57528235895.444504</v>
      </c>
      <c r="AI137" s="3">
        <f t="shared" si="133"/>
        <v>57354667426.370094</v>
      </c>
      <c r="AJ137" s="3">
        <f t="shared" si="133"/>
        <v>57194703978.148354</v>
      </c>
      <c r="AK137" s="3">
        <f t="shared" si="133"/>
        <v>57029191861.626122</v>
      </c>
      <c r="AL137" s="3">
        <f t="shared" si="133"/>
        <v>56861296644.190369</v>
      </c>
      <c r="AM137" s="3">
        <f t="shared" si="133"/>
        <v>56740939154.334496</v>
      </c>
      <c r="AN137" s="3">
        <f t="shared" si="133"/>
        <v>56644137690.781395</v>
      </c>
      <c r="AO137" s="3">
        <f t="shared" si="133"/>
        <v>56610199544.401772</v>
      </c>
      <c r="AP137" s="3">
        <f t="shared" si="133"/>
        <v>56604258811.159317</v>
      </c>
      <c r="AQ137" s="3">
        <f t="shared" si="133"/>
        <v>56598199263.252014</v>
      </c>
      <c r="AR137" s="3">
        <f t="shared" si="133"/>
        <v>56590789360.499199</v>
      </c>
      <c r="AS137" s="3">
        <f t="shared" si="133"/>
        <v>56590789360.499199</v>
      </c>
    </row>
    <row r="138" spans="1:46" s="94" customFormat="1" x14ac:dyDescent="0.2">
      <c r="A138" s="94" t="s">
        <v>143</v>
      </c>
      <c r="C138" s="96">
        <f>SUM(F138:AS138)</f>
        <v>48267074639.063385</v>
      </c>
      <c r="D138" s="97"/>
      <c r="E138" s="97"/>
      <c r="F138" s="95">
        <f>F137-E137-F132</f>
        <v>2162462613.3625078</v>
      </c>
      <c r="G138" s="95">
        <f>G137-F137-G132</f>
        <v>637861286.74254775</v>
      </c>
      <c r="H138" s="95">
        <f>H137-G137-H132</f>
        <v>-828962623.3214643</v>
      </c>
      <c r="I138" s="95">
        <f t="shared" ref="I138:AS138" si="134">I137-H137-I132</f>
        <v>-625148248.14487147</v>
      </c>
      <c r="J138" s="95">
        <f t="shared" si="134"/>
        <v>-804405116.23262119</v>
      </c>
      <c r="K138" s="95">
        <f t="shared" si="134"/>
        <v>-661147716.37485504</v>
      </c>
      <c r="L138" s="95">
        <f t="shared" si="134"/>
        <v>641538695.48217189</v>
      </c>
      <c r="M138" s="95">
        <f t="shared" si="134"/>
        <v>8648849.0784079432</v>
      </c>
      <c r="N138" s="95">
        <f t="shared" si="134"/>
        <v>500483618.14256531</v>
      </c>
      <c r="O138" s="95">
        <f t="shared" si="134"/>
        <v>1013800232.935717</v>
      </c>
      <c r="P138" s="95">
        <f t="shared" si="134"/>
        <v>1056592794.8399575</v>
      </c>
      <c r="Q138" s="95">
        <f t="shared" si="134"/>
        <v>465702017.66966003</v>
      </c>
      <c r="R138" s="95">
        <f t="shared" si="134"/>
        <v>687580750.66489315</v>
      </c>
      <c r="S138" s="95">
        <f t="shared" si="134"/>
        <v>800804581.80301738</v>
      </c>
      <c r="T138" s="95">
        <f t="shared" si="134"/>
        <v>645566746.68428826</v>
      </c>
      <c r="U138" s="95">
        <f t="shared" si="134"/>
        <v>1320960724.4484699</v>
      </c>
      <c r="V138" s="95">
        <f t="shared" si="134"/>
        <v>1338798674.1901426</v>
      </c>
      <c r="W138" s="95">
        <f t="shared" si="134"/>
        <v>267586385.89472997</v>
      </c>
      <c r="X138" s="95">
        <f t="shared" si="134"/>
        <v>452850738.52942908</v>
      </c>
      <c r="Y138" s="95">
        <f t="shared" si="134"/>
        <v>1443041771.7806821</v>
      </c>
      <c r="Z138" s="95">
        <f t="shared" si="134"/>
        <v>671373705.72947502</v>
      </c>
      <c r="AA138" s="288">
        <f t="shared" si="134"/>
        <v>-2169915671.0040817</v>
      </c>
      <c r="AB138" s="95">
        <f t="shared" si="134"/>
        <v>19266279074.327911</v>
      </c>
      <c r="AC138" s="95">
        <f t="shared" si="134"/>
        <v>4477742381.3896933</v>
      </c>
      <c r="AD138" s="95">
        <f t="shared" si="134"/>
        <v>4605458612.5876408</v>
      </c>
      <c r="AE138" s="95">
        <f t="shared" si="134"/>
        <v>4901683022.3112335</v>
      </c>
      <c r="AF138" s="95">
        <f t="shared" si="134"/>
        <v>3439007357.9563031</v>
      </c>
      <c r="AG138" s="95">
        <f t="shared" si="134"/>
        <v>2753358765.7033868</v>
      </c>
      <c r="AH138" s="95">
        <f t="shared" si="134"/>
        <v>839077872.93678749</v>
      </c>
      <c r="AI138" s="95">
        <f t="shared" si="134"/>
        <v>-192853854.52712142</v>
      </c>
      <c r="AJ138" s="95">
        <f t="shared" si="134"/>
        <v>-177737164.69082305</v>
      </c>
      <c r="AK138" s="95">
        <f t="shared" si="134"/>
        <v>-183902351.69136864</v>
      </c>
      <c r="AL138" s="95">
        <f t="shared" si="134"/>
        <v>-186550241.59528059</v>
      </c>
      <c r="AM138" s="95">
        <f t="shared" si="134"/>
        <v>-133730544.28430332</v>
      </c>
      <c r="AN138" s="95">
        <f t="shared" si="134"/>
        <v>-107557181.7256673</v>
      </c>
      <c r="AO138" s="95">
        <f t="shared" si="134"/>
        <v>-37709051.532914691</v>
      </c>
      <c r="AP138" s="95">
        <f t="shared" si="134"/>
        <v>-6600814.7138380744</v>
      </c>
      <c r="AQ138" s="95">
        <f t="shared" si="134"/>
        <v>-6732831.0081140734</v>
      </c>
      <c r="AR138" s="95">
        <f t="shared" si="134"/>
        <v>-8233225.2809055457</v>
      </c>
      <c r="AS138" s="95">
        <f t="shared" si="134"/>
        <v>0</v>
      </c>
    </row>
    <row r="139" spans="1:46" x14ac:dyDescent="0.2">
      <c r="A139" s="4" t="s">
        <v>30</v>
      </c>
      <c r="B139" s="4"/>
      <c r="D139" s="64">
        <v>0.25</v>
      </c>
      <c r="F139" s="7">
        <f>$D$139</f>
        <v>0.25</v>
      </c>
      <c r="G139" s="7">
        <f t="shared" ref="G139:AS139" si="135">$D$139</f>
        <v>0.25</v>
      </c>
      <c r="H139" s="7">
        <f t="shared" si="135"/>
        <v>0.25</v>
      </c>
      <c r="I139" s="7">
        <f t="shared" si="135"/>
        <v>0.25</v>
      </c>
      <c r="J139" s="7">
        <f t="shared" si="135"/>
        <v>0.25</v>
      </c>
      <c r="K139" s="7">
        <f t="shared" si="135"/>
        <v>0.25</v>
      </c>
      <c r="L139" s="7">
        <f t="shared" si="135"/>
        <v>0.25</v>
      </c>
      <c r="M139" s="7">
        <f t="shared" si="135"/>
        <v>0.25</v>
      </c>
      <c r="N139" s="7">
        <f t="shared" si="135"/>
        <v>0.25</v>
      </c>
      <c r="O139" s="7">
        <f t="shared" si="135"/>
        <v>0.25</v>
      </c>
      <c r="P139" s="7">
        <f t="shared" si="135"/>
        <v>0.25</v>
      </c>
      <c r="Q139" s="7">
        <f t="shared" si="135"/>
        <v>0.25</v>
      </c>
      <c r="R139" s="7">
        <f t="shared" si="135"/>
        <v>0.25</v>
      </c>
      <c r="S139" s="7">
        <f t="shared" si="135"/>
        <v>0.25</v>
      </c>
      <c r="T139" s="7">
        <f t="shared" si="135"/>
        <v>0.25</v>
      </c>
      <c r="U139" s="7">
        <f t="shared" si="135"/>
        <v>0.25</v>
      </c>
      <c r="V139" s="7">
        <f t="shared" si="135"/>
        <v>0.25</v>
      </c>
      <c r="W139" s="7">
        <f t="shared" si="135"/>
        <v>0.25</v>
      </c>
      <c r="X139" s="7">
        <f t="shared" si="135"/>
        <v>0.25</v>
      </c>
      <c r="Y139" s="7">
        <f t="shared" si="135"/>
        <v>0.25</v>
      </c>
      <c r="Z139" s="7">
        <f t="shared" si="135"/>
        <v>0.25</v>
      </c>
      <c r="AA139" s="295">
        <f t="shared" si="135"/>
        <v>0.25</v>
      </c>
      <c r="AB139" s="7">
        <f t="shared" si="135"/>
        <v>0.25</v>
      </c>
      <c r="AC139" s="7">
        <f t="shared" si="135"/>
        <v>0.25</v>
      </c>
      <c r="AD139" s="7">
        <f t="shared" si="135"/>
        <v>0.25</v>
      </c>
      <c r="AE139" s="7">
        <f t="shared" si="135"/>
        <v>0.25</v>
      </c>
      <c r="AF139" s="7">
        <f t="shared" si="135"/>
        <v>0.25</v>
      </c>
      <c r="AG139" s="7">
        <f t="shared" si="135"/>
        <v>0.25</v>
      </c>
      <c r="AH139" s="7">
        <f t="shared" si="135"/>
        <v>0.25</v>
      </c>
      <c r="AI139" s="7">
        <f t="shared" si="135"/>
        <v>0.25</v>
      </c>
      <c r="AJ139" s="7">
        <f t="shared" si="135"/>
        <v>0.25</v>
      </c>
      <c r="AK139" s="7">
        <f t="shared" si="135"/>
        <v>0.25</v>
      </c>
      <c r="AL139" s="7">
        <f t="shared" si="135"/>
        <v>0.25</v>
      </c>
      <c r="AM139" s="7">
        <f t="shared" si="135"/>
        <v>0.25</v>
      </c>
      <c r="AN139" s="7">
        <f t="shared" si="135"/>
        <v>0.25</v>
      </c>
      <c r="AO139" s="7">
        <f t="shared" si="135"/>
        <v>0.25</v>
      </c>
      <c r="AP139" s="7">
        <f t="shared" si="135"/>
        <v>0.25</v>
      </c>
      <c r="AQ139" s="7">
        <f t="shared" si="135"/>
        <v>0.25</v>
      </c>
      <c r="AR139" s="7">
        <f t="shared" si="135"/>
        <v>0.25</v>
      </c>
      <c r="AS139" s="7">
        <f t="shared" si="135"/>
        <v>0.25</v>
      </c>
    </row>
    <row r="140" spans="1:46" x14ac:dyDescent="0.2">
      <c r="A140" s="4" t="s">
        <v>31</v>
      </c>
      <c r="B140" s="4"/>
      <c r="E140" s="42">
        <f t="shared" ref="E140:AS140" si="136">(F140+F138)/((1+F139)^(E3/365))</f>
        <v>15801270612.395508</v>
      </c>
      <c r="F140" s="3">
        <f t="shared" si="136"/>
        <v>13638807999.032999</v>
      </c>
      <c r="G140" s="3">
        <f t="shared" si="136"/>
        <v>13772405964.593622</v>
      </c>
      <c r="H140" s="3">
        <f t="shared" si="136"/>
        <v>15389283377.636185</v>
      </c>
      <c r="I140" s="3">
        <f t="shared" si="136"/>
        <v>16904796994.83564</v>
      </c>
      <c r="J140" s="3">
        <f t="shared" si="136"/>
        <v>18687249330.406136</v>
      </c>
      <c r="K140" s="3">
        <f t="shared" si="136"/>
        <v>20405414008.751579</v>
      </c>
      <c r="L140" s="3">
        <f t="shared" si="136"/>
        <v>20931262299.18969</v>
      </c>
      <c r="M140" s="3">
        <f t="shared" si="136"/>
        <v>22133616628.393059</v>
      </c>
      <c r="N140" s="3">
        <f t="shared" si="136"/>
        <v>22913699834.206066</v>
      </c>
      <c r="O140" s="3">
        <f t="shared" si="136"/>
        <v>23210784789.596523</v>
      </c>
      <c r="P140" s="3">
        <f t="shared" si="136"/>
        <v>23482073315.113522</v>
      </c>
      <c r="Q140" s="3">
        <f t="shared" si="136"/>
        <v>24374954693.455723</v>
      </c>
      <c r="R140" s="3">
        <f t="shared" si="136"/>
        <v>25097616057.304482</v>
      </c>
      <c r="S140" s="3">
        <f t="shared" si="136"/>
        <v>25716421467.777397</v>
      </c>
      <c r="T140" s="3">
        <f t="shared" si="136"/>
        <v>26542082687.016697</v>
      </c>
      <c r="U140" s="3">
        <f t="shared" si="136"/>
        <v>26756745855.325008</v>
      </c>
      <c r="V140" s="3">
        <f t="shared" si="136"/>
        <v>26965990667.863838</v>
      </c>
      <c r="W140" s="3">
        <f t="shared" si="136"/>
        <v>28223696154.962662</v>
      </c>
      <c r="X140" s="3">
        <f t="shared" si="136"/>
        <v>29385513737.876785</v>
      </c>
      <c r="Y140" s="3">
        <f t="shared" si="136"/>
        <v>29642605958.176899</v>
      </c>
      <c r="Z140" s="3">
        <f t="shared" si="136"/>
        <v>30686240621.975918</v>
      </c>
      <c r="AA140" s="288">
        <f t="shared" si="136"/>
        <v>34591878670.470993</v>
      </c>
      <c r="AB140" s="3">
        <f t="shared" si="136"/>
        <v>17304589532.888397</v>
      </c>
      <c r="AC140" s="3">
        <f t="shared" si="136"/>
        <v>13828024845.593184</v>
      </c>
      <c r="AD140" s="3">
        <f t="shared" si="136"/>
        <v>10022603125.095943</v>
      </c>
      <c r="AE140" s="3">
        <f t="shared" si="136"/>
        <v>5694309912.3844013</v>
      </c>
      <c r="AF140" s="3">
        <f t="shared" si="136"/>
        <v>2581072141.0026913</v>
      </c>
      <c r="AG140" s="3">
        <f t="shared" si="136"/>
        <v>-22955613.43866479</v>
      </c>
      <c r="AH140" s="3">
        <f t="shared" si="136"/>
        <v>-863361610.80656731</v>
      </c>
      <c r="AI140" s="3">
        <f t="shared" si="136"/>
        <v>-719342544.68524492</v>
      </c>
      <c r="AJ140" s="3">
        <f t="shared" si="136"/>
        <v>-582758729.03816962</v>
      </c>
      <c r="AK140" s="3">
        <f t="shared" si="136"/>
        <v>-432572579.59724969</v>
      </c>
      <c r="AL140" s="3">
        <f t="shared" si="136"/>
        <v>-271049341.21094877</v>
      </c>
      <c r="AM140" s="3">
        <f t="shared" si="136"/>
        <v>-152650306.9913587</v>
      </c>
      <c r="AN140" s="3">
        <f t="shared" si="136"/>
        <v>-53826198.836363368</v>
      </c>
      <c r="AO140" s="3">
        <f t="shared" si="136"/>
        <v>-19231326.321127247</v>
      </c>
      <c r="AP140" s="3">
        <f t="shared" si="136"/>
        <v>-13743162.959346458</v>
      </c>
      <c r="AQ140" s="3">
        <f t="shared" si="136"/>
        <v>-7787693.8894347381</v>
      </c>
      <c r="AR140" s="3">
        <f t="shared" si="136"/>
        <v>0</v>
      </c>
      <c r="AS140" s="3">
        <f t="shared" si="136"/>
        <v>0</v>
      </c>
    </row>
    <row r="141" spans="1:46" x14ac:dyDescent="0.2">
      <c r="A141" s="4" t="s">
        <v>32</v>
      </c>
      <c r="B141" s="4"/>
      <c r="E141" s="42">
        <f>E140+E137</f>
        <v>15801270612.395508</v>
      </c>
      <c r="F141" s="3">
        <f>F140+F137</f>
        <v>16638282010.719479</v>
      </c>
      <c r="G141" s="3">
        <f t="shared" ref="G141:AS141" si="137">G140+G137</f>
        <v>17478658787.688717</v>
      </c>
      <c r="H141" s="3">
        <f t="shared" si="137"/>
        <v>18440510238.587715</v>
      </c>
      <c r="I141" s="3">
        <f t="shared" si="137"/>
        <v>19507927548.298447</v>
      </c>
      <c r="J141" s="3">
        <f t="shared" si="137"/>
        <v>20663026708.292469</v>
      </c>
      <c r="K141" s="3">
        <f t="shared" si="137"/>
        <v>22036770753.842705</v>
      </c>
      <c r="L141" s="3">
        <f t="shared" si="137"/>
        <v>23438240148.483871</v>
      </c>
      <c r="M141" s="3">
        <f t="shared" si="137"/>
        <v>25010048179.485867</v>
      </c>
      <c r="N141" s="3">
        <f t="shared" si="137"/>
        <v>26628590063.889317</v>
      </c>
      <c r="O141" s="3">
        <f t="shared" si="137"/>
        <v>28177102850.924812</v>
      </c>
      <c r="P141" s="3">
        <f t="shared" si="137"/>
        <v>29801286805.405643</v>
      </c>
      <c r="Q141" s="3">
        <f t="shared" si="137"/>
        <v>31568978567.914444</v>
      </c>
      <c r="R141" s="3">
        <f t="shared" si="137"/>
        <v>33399109110.728687</v>
      </c>
      <c r="S141" s="3">
        <f t="shared" si="137"/>
        <v>35270634263.637253</v>
      </c>
      <c r="T141" s="3">
        <f t="shared" si="137"/>
        <v>37198252732.348595</v>
      </c>
      <c r="U141" s="3">
        <f t="shared" si="137"/>
        <v>39163418831.128365</v>
      </c>
      <c r="V141" s="3">
        <f t="shared" si="137"/>
        <v>41172003389.370377</v>
      </c>
      <c r="W141" s="3">
        <f t="shared" si="137"/>
        <v>43267525472.123024</v>
      </c>
      <c r="X141" s="3">
        <f t="shared" si="137"/>
        <v>45444707511.982193</v>
      </c>
      <c r="Y141" s="3">
        <f t="shared" si="137"/>
        <v>47626510841.384644</v>
      </c>
      <c r="Z141" s="3">
        <f t="shared" si="137"/>
        <v>49797531343.392502</v>
      </c>
      <c r="AA141" s="288">
        <f t="shared" si="137"/>
        <v>51575104035.894348</v>
      </c>
      <c r="AB141" s="3">
        <f t="shared" si="137"/>
        <v>53597741720.530304</v>
      </c>
      <c r="AC141" s="3">
        <f t="shared" si="137"/>
        <v>54639688746.265366</v>
      </c>
      <c r="AD141" s="3">
        <f t="shared" si="137"/>
        <v>55481051326.098694</v>
      </c>
      <c r="AE141" s="3">
        <f t="shared" si="137"/>
        <v>56097233282.997002</v>
      </c>
      <c r="AF141" s="3">
        <f t="shared" si="137"/>
        <v>56461149162.417206</v>
      </c>
      <c r="AG141" s="3">
        <f t="shared" si="137"/>
        <v>56642410289.868317</v>
      </c>
      <c r="AH141" s="3">
        <f t="shared" si="137"/>
        <v>56664874284.637939</v>
      </c>
      <c r="AI141" s="3">
        <f t="shared" si="137"/>
        <v>56635324881.684853</v>
      </c>
      <c r="AJ141" s="3">
        <f t="shared" si="137"/>
        <v>56611945249.110184</v>
      </c>
      <c r="AK141" s="3">
        <f t="shared" si="137"/>
        <v>56596619282.02887</v>
      </c>
      <c r="AL141" s="3">
        <f t="shared" si="137"/>
        <v>56590247302.979424</v>
      </c>
      <c r="AM141" s="3">
        <f t="shared" si="137"/>
        <v>56588288847.34314</v>
      </c>
      <c r="AN141" s="3">
        <f t="shared" si="137"/>
        <v>56590311491.94503</v>
      </c>
      <c r="AO141" s="3">
        <f t="shared" si="137"/>
        <v>56590968218.080643</v>
      </c>
      <c r="AP141" s="3">
        <f t="shared" si="137"/>
        <v>56590515648.199974</v>
      </c>
      <c r="AQ141" s="3">
        <f t="shared" si="137"/>
        <v>56590411569.362579</v>
      </c>
      <c r="AR141" s="3">
        <f t="shared" si="137"/>
        <v>56590789360.499199</v>
      </c>
      <c r="AS141" s="3">
        <f t="shared" si="137"/>
        <v>56590789360.499199</v>
      </c>
    </row>
    <row r="142" spans="1:46" x14ac:dyDescent="0.2">
      <c r="A142" s="4" t="s">
        <v>33</v>
      </c>
      <c r="B142" s="4"/>
      <c r="E142" s="42">
        <f t="shared" ref="E142:AS142" si="138">E141+E106</f>
        <v>15801270612.395508</v>
      </c>
      <c r="F142" s="3">
        <f t="shared" si="138"/>
        <v>16638282010.719479</v>
      </c>
      <c r="G142" s="3">
        <f t="shared" si="138"/>
        <v>17478658787.688717</v>
      </c>
      <c r="H142" s="3">
        <f t="shared" si="138"/>
        <v>18440510238.587715</v>
      </c>
      <c r="I142" s="3">
        <f t="shared" si="138"/>
        <v>19507927548.298447</v>
      </c>
      <c r="J142" s="3">
        <f t="shared" si="138"/>
        <v>20663026708.292469</v>
      </c>
      <c r="K142" s="3">
        <f t="shared" si="138"/>
        <v>22036770753.842705</v>
      </c>
      <c r="L142" s="3">
        <f t="shared" si="138"/>
        <v>23438240148.483871</v>
      </c>
      <c r="M142" s="3">
        <f t="shared" si="138"/>
        <v>25010048179.485867</v>
      </c>
      <c r="N142" s="3">
        <f t="shared" si="138"/>
        <v>26628590063.889317</v>
      </c>
      <c r="O142" s="3">
        <f t="shared" si="138"/>
        <v>28177102850.924812</v>
      </c>
      <c r="P142" s="3">
        <f t="shared" si="138"/>
        <v>29801286805.405643</v>
      </c>
      <c r="Q142" s="3">
        <f t="shared" si="138"/>
        <v>31568978567.914444</v>
      </c>
      <c r="R142" s="3">
        <f t="shared" si="138"/>
        <v>33399109110.728687</v>
      </c>
      <c r="S142" s="3">
        <f t="shared" si="138"/>
        <v>35270634263.637253</v>
      </c>
      <c r="T142" s="3">
        <f t="shared" si="138"/>
        <v>37198252732.348595</v>
      </c>
      <c r="U142" s="3">
        <f t="shared" si="138"/>
        <v>39163418831.128365</v>
      </c>
      <c r="V142" s="3">
        <f t="shared" si="138"/>
        <v>41172003389.370377</v>
      </c>
      <c r="W142" s="3">
        <f t="shared" si="138"/>
        <v>43267525472.123024</v>
      </c>
      <c r="X142" s="3">
        <f t="shared" si="138"/>
        <v>45444707511.982193</v>
      </c>
      <c r="Y142" s="3">
        <f t="shared" si="138"/>
        <v>47626510841.384644</v>
      </c>
      <c r="Z142" s="3">
        <f t="shared" si="138"/>
        <v>49797531343.392502</v>
      </c>
      <c r="AA142" s="288">
        <f t="shared" si="138"/>
        <v>51575104035.894348</v>
      </c>
      <c r="AB142" s="3">
        <f t="shared" si="138"/>
        <v>53597741720.530304</v>
      </c>
      <c r="AC142" s="3">
        <f t="shared" si="138"/>
        <v>54639688746.265366</v>
      </c>
      <c r="AD142" s="3">
        <f t="shared" si="138"/>
        <v>55481051326.098694</v>
      </c>
      <c r="AE142" s="3">
        <f t="shared" si="138"/>
        <v>56097233282.997002</v>
      </c>
      <c r="AF142" s="3">
        <f t="shared" si="138"/>
        <v>56461149162.417206</v>
      </c>
      <c r="AG142" s="3">
        <f t="shared" si="138"/>
        <v>56642410289.868317</v>
      </c>
      <c r="AH142" s="3">
        <f t="shared" si="138"/>
        <v>56664874284.637939</v>
      </c>
      <c r="AI142" s="3">
        <f t="shared" si="138"/>
        <v>56635324881.684853</v>
      </c>
      <c r="AJ142" s="3">
        <f t="shared" si="138"/>
        <v>56611945249.110184</v>
      </c>
      <c r="AK142" s="3">
        <f t="shared" si="138"/>
        <v>56596619282.02887</v>
      </c>
      <c r="AL142" s="3">
        <f t="shared" si="138"/>
        <v>56590247302.979424</v>
      </c>
      <c r="AM142" s="3">
        <f t="shared" si="138"/>
        <v>56588288847.34314</v>
      </c>
      <c r="AN142" s="3">
        <f t="shared" si="138"/>
        <v>56590311491.94503</v>
      </c>
      <c r="AO142" s="3">
        <f t="shared" si="138"/>
        <v>56590968218.080643</v>
      </c>
      <c r="AP142" s="3">
        <f t="shared" si="138"/>
        <v>56590515648.199974</v>
      </c>
      <c r="AQ142" s="3">
        <f t="shared" si="138"/>
        <v>56590411569.362579</v>
      </c>
      <c r="AR142" s="3">
        <f t="shared" si="138"/>
        <v>56590789360.499199</v>
      </c>
      <c r="AS142" s="3">
        <f t="shared" si="138"/>
        <v>56590789360.499199</v>
      </c>
    </row>
    <row r="143" spans="1:46" x14ac:dyDescent="0.2">
      <c r="A143" s="1" t="s">
        <v>306</v>
      </c>
      <c r="C143" s="83">
        <f>C138/(C81+C18)</f>
        <v>0.5771249791995865</v>
      </c>
      <c r="D143" s="1"/>
      <c r="E143" s="4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288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6" x14ac:dyDescent="0.2">
      <c r="A144" s="1" t="s">
        <v>34</v>
      </c>
      <c r="F144" s="35">
        <f>IFERROR((F106+F110)/F142,0)</f>
        <v>-8.4725827586676818E-3</v>
      </c>
      <c r="G144" s="35">
        <f t="shared" ref="G144:AS144" si="139">IFERROR((G106+G110)/G142,0)</f>
        <v>-4.2574761036643344E-2</v>
      </c>
      <c r="H144" s="35">
        <f t="shared" si="139"/>
        <v>-6.5453692809921735E-2</v>
      </c>
      <c r="I144" s="35">
        <f t="shared" si="139"/>
        <v>-7.9350076684796531E-2</v>
      </c>
      <c r="J144" s="35">
        <f t="shared" si="139"/>
        <v>-8.8687368406207695E-2</v>
      </c>
      <c r="K144" s="35">
        <f t="shared" si="139"/>
        <v>-0.10285516753409198</v>
      </c>
      <c r="L144" s="35">
        <f t="shared" si="139"/>
        <v>-0.11239977093713245</v>
      </c>
      <c r="M144" s="35">
        <f t="shared" si="139"/>
        <v>-0.12699399304511516</v>
      </c>
      <c r="N144" s="35">
        <f t="shared" si="139"/>
        <v>-0.14057857126073636</v>
      </c>
      <c r="O144" s="35">
        <f t="shared" si="139"/>
        <v>-0.14918671669488567</v>
      </c>
      <c r="P144" s="35">
        <f t="shared" si="139"/>
        <v>-0.15924311967517127</v>
      </c>
      <c r="Q144" s="35">
        <f t="shared" si="139"/>
        <v>-0.17376759446411161</v>
      </c>
      <c r="R144" s="35">
        <f t="shared" si="139"/>
        <v>-0.18797547607842302</v>
      </c>
      <c r="S144" s="35">
        <f t="shared" si="139"/>
        <v>-0.20254388158043377</v>
      </c>
      <c r="T144" s="35">
        <f t="shared" si="139"/>
        <v>-0.21634812498664299</v>
      </c>
      <c r="U144" s="35">
        <f t="shared" si="139"/>
        <v>-0.22785379173781001</v>
      </c>
      <c r="V144" s="35">
        <f t="shared" si="139"/>
        <v>-0.23858192758505409</v>
      </c>
      <c r="W144" s="35">
        <f t="shared" si="139"/>
        <v>-0.25211136524658961</v>
      </c>
      <c r="X144" s="35">
        <f t="shared" si="139"/>
        <v>-0.26491088506007643</v>
      </c>
      <c r="Y144" s="35">
        <f t="shared" si="139"/>
        <v>-0.27410675453610622</v>
      </c>
      <c r="Z144" s="35">
        <f t="shared" si="139"/>
        <v>-0.28082573375740033</v>
      </c>
      <c r="AA144" s="294">
        <f t="shared" si="139"/>
        <v>-0.27716721141912731</v>
      </c>
      <c r="AB144" s="35">
        <f t="shared" si="139"/>
        <v>0</v>
      </c>
      <c r="AC144" s="35">
        <f t="shared" si="139"/>
        <v>-8.0004578659141615E-5</v>
      </c>
      <c r="AD144" s="35">
        <f t="shared" si="139"/>
        <v>-8.2720092805505177E-5</v>
      </c>
      <c r="AE144" s="35">
        <f t="shared" si="139"/>
        <v>-8.2005229279633445E-5</v>
      </c>
      <c r="AF144" s="35">
        <f t="shared" si="139"/>
        <v>-8.1486375150449617E-5</v>
      </c>
      <c r="AG144" s="35">
        <f t="shared" si="139"/>
        <v>-8.1226098588198028E-5</v>
      </c>
      <c r="AH144" s="35">
        <f t="shared" si="139"/>
        <v>-8.1193921678344153E-5</v>
      </c>
      <c r="AI144" s="35">
        <f t="shared" si="139"/>
        <v>-8.1236285694663354E-5</v>
      </c>
      <c r="AJ144" s="35">
        <f t="shared" si="139"/>
        <v>-8.1269834761503435E-5</v>
      </c>
      <c r="AK144" s="35">
        <f t="shared" si="139"/>
        <v>-8.1291842065131441E-5</v>
      </c>
      <c r="AL144" s="35">
        <f t="shared" si="139"/>
        <v>-8.1300995407760745E-5</v>
      </c>
      <c r="AM144" s="35">
        <f t="shared" si="139"/>
        <v>-8.130380914177461E-5</v>
      </c>
      <c r="AN144" s="35">
        <f t="shared" si="139"/>
        <v>-8.1300903190096373E-5</v>
      </c>
      <c r="AO144" s="35">
        <f t="shared" si="139"/>
        <v>-8.1299959710427186E-5</v>
      </c>
      <c r="AP144" s="35">
        <f t="shared" si="139"/>
        <v>-8.130060988851168E-5</v>
      </c>
      <c r="AQ144" s="35">
        <f t="shared" si="139"/>
        <v>-8.1300759413364425E-5</v>
      </c>
      <c r="AR144" s="35">
        <f t="shared" si="139"/>
        <v>-8.1300216662385797E-5</v>
      </c>
      <c r="AS144" s="35">
        <f t="shared" si="139"/>
        <v>-8.1300216662385797E-5</v>
      </c>
    </row>
    <row r="145" spans="1:45" x14ac:dyDescent="0.2">
      <c r="A145" s="1" t="s">
        <v>35</v>
      </c>
      <c r="F145" s="35">
        <f>IFERROR((F106+F107)/-SUM($E$18:F18),0)</f>
        <v>6.9733885461129366E-2</v>
      </c>
      <c r="G145" s="35">
        <f>IFERROR((G106+G107)/-SUM($E$18:G18),0)</f>
        <v>0.22251782847458504</v>
      </c>
      <c r="H145" s="35">
        <f>IFERROR((H106+H107)/-SUM($E$18:H18),0)</f>
        <v>0.10400947826370516</v>
      </c>
      <c r="I145" s="35">
        <f>IFERROR((I106+I107)/-SUM($E$18:I18),0)</f>
        <v>5.4810865597724752E-2</v>
      </c>
      <c r="J145" s="35">
        <f>IFERROR((J106+J107)/-SUM($E$18:J18),0)</f>
        <v>3.5613807151206878E-2</v>
      </c>
      <c r="K145" s="35">
        <f>IFERROR((K106+K107)/-SUM($E$18:K18),0)</f>
        <v>3.8898673693777655E-2</v>
      </c>
      <c r="L145" s="35">
        <f>IFERROR((L106+L107)/-SUM($E$18:L18),0)</f>
        <v>2.7250273528534739E-2</v>
      </c>
      <c r="M145" s="35">
        <f>IFERROR((M106+M107)/-SUM($E$18:M18),0)</f>
        <v>3.1663352903107102E-2</v>
      </c>
      <c r="N145" s="35">
        <f>IFERROR((N106+N107)/-SUM($E$18:N18),0)</f>
        <v>2.7689905732456933E-2</v>
      </c>
      <c r="O145" s="35">
        <f>IFERROR((O106+O107)/-SUM($E$18:O18),0)</f>
        <v>2.0130107186387084E-2</v>
      </c>
      <c r="P145" s="35">
        <f>IFERROR((P106+P107)/-SUM($E$18:P18),0)</f>
        <v>2.0986368502318716E-2</v>
      </c>
      <c r="Q145" s="35">
        <f>IFERROR((Q106+Q107)/-SUM($E$18:Q18),0)</f>
        <v>2.4735297367065215E-2</v>
      </c>
      <c r="R145" s="35">
        <f>IFERROR((R106+R107)/-SUM($E$18:R18),0)</f>
        <v>2.3230787757399712E-2</v>
      </c>
      <c r="S145" s="35">
        <f>IFERROR((S106+S107)/-SUM($E$18:S18),0)</f>
        <v>2.2405284067215429E-2</v>
      </c>
      <c r="T145" s="35">
        <f>IFERROR((T106+T107)/-SUM($E$18:T18),0)</f>
        <v>2.0924421829281489E-2</v>
      </c>
      <c r="U145" s="35">
        <f>IFERROR((U106+U107)/-SUM($E$18:U18),0)</f>
        <v>1.8439115005130225E-2</v>
      </c>
      <c r="V145" s="35">
        <f>IFERROR((V106+V107)/-SUM($E$18:V18),0)</f>
        <v>1.7262180330418552E-2</v>
      </c>
      <c r="W145" s="35">
        <f>IFERROR((W106+W107)/-SUM($E$18:W18),0)</f>
        <v>1.8776689482080808E-2</v>
      </c>
      <c r="X145" s="35">
        <f>IFERROR((X106+X107)/-SUM($E$18:X18),0)</f>
        <v>1.7824459453500249E-2</v>
      </c>
      <c r="Y145" s="35">
        <f>IFERROR((Y106+Y107)/-SUM($E$18:Y18),0)</f>
        <v>1.488696718900796E-2</v>
      </c>
      <c r="Z145" s="35">
        <f>IFERROR((Z106+Z107)/-SUM($E$18:Z18),0)</f>
        <v>1.2769553938111442E-2</v>
      </c>
      <c r="AA145" s="294">
        <f>IFERROR((AA106+AA107)/-SUM($E$18:AA18),0)</f>
        <v>4.2404683406812027E-3</v>
      </c>
      <c r="AB145" s="35">
        <f>IFERROR((AB106+AB107)/-SUM($E$18:AB18),0)</f>
        <v>1.1772533165806804E-3</v>
      </c>
      <c r="AC145" s="35">
        <f>IFERROR((AC106+AC107)/-SUM($E$18:AC18),0)</f>
        <v>5.9019803136684157E-5</v>
      </c>
      <c r="AD145" s="35">
        <f>IFERROR((AD106+AD107)/-SUM($E$18:AD18),0)</f>
        <v>2.9265764376577139E-6</v>
      </c>
      <c r="AE145" s="35">
        <f>IFERROR((AE106+AE107)/-SUM($E$18:AE18),0)</f>
        <v>1.4509429222575351E-7</v>
      </c>
      <c r="AF145" s="35">
        <f>IFERROR((AF106+AF107)/-SUM($E$18:AF18),0)</f>
        <v>7.2772835594457357E-9</v>
      </c>
      <c r="AG145" s="35">
        <f>IFERROR((AG106+AG107)/-SUM($E$18:AG18),0)</f>
        <v>3.6530559405524737E-10</v>
      </c>
      <c r="AH145" s="35">
        <f>IFERROR((AH106+AH107)/-SUM($E$18:AH18),0)</f>
        <v>1.7958559660356565E-11</v>
      </c>
      <c r="AI145" s="35">
        <f>IFERROR((AI106+AI107)/-SUM($E$18:AI18),0)</f>
        <v>8.9319680079371346E-13</v>
      </c>
      <c r="AJ145" s="35">
        <f>IFERROR((AJ106+AJ107)/-SUM($E$18:AJ18),0)</f>
        <v>4.4921905745077942E-14</v>
      </c>
      <c r="AK145" s="35">
        <f>IFERROR((AK106+AK107)/-SUM($E$18:AK18),0)</f>
        <v>2.2591054369380543E-15</v>
      </c>
      <c r="AL145" s="35">
        <f>IFERROR((AL106+AL107)/-SUM($E$18:AL18),0)</f>
        <v>1.1113657598554165E-16</v>
      </c>
      <c r="AM145" s="35">
        <f>IFERROR((AM106+AM107)/-SUM($E$18:AM18),0)</f>
        <v>5.5319452640985164E-18</v>
      </c>
      <c r="AN145" s="35">
        <f>IFERROR((AN106+AN107)/-SUM($E$18:AN18),0)</f>
        <v>2.7848026031001607E-19</v>
      </c>
      <c r="AO145" s="35">
        <f>IFERROR((AO106+AO107)/-SUM($E$18:AO18),0)</f>
        <v>1.4031570037646177E-20</v>
      </c>
      <c r="AP145" s="35">
        <f>IFERROR((AP106+AP107)/-SUM($E$18:AP18),0)</f>
        <v>6.9190842108576366E-22</v>
      </c>
      <c r="AQ145" s="35">
        <f>IFERROR((AQ106+AQ107)/-SUM($E$18:AQ18),0)</f>
        <v>3.4497617669170964E-23</v>
      </c>
      <c r="AR145" s="35">
        <f>IFERROR((AR106+AR107)/-SUM($E$18:AR18),0)</f>
        <v>1.7388717683306449E-24</v>
      </c>
      <c r="AS145" s="35">
        <f>IFERROR((AS106+AS107)/-SUM($E$18:AS18),0)</f>
        <v>8.7658193252832516E-26</v>
      </c>
    </row>
    <row r="146" spans="1:45" x14ac:dyDescent="0.2">
      <c r="C146" s="36"/>
    </row>
    <row r="148" spans="1:45" s="115" customFormat="1" ht="15.75" x14ac:dyDescent="0.25">
      <c r="A148" s="115" t="s">
        <v>157</v>
      </c>
      <c r="C148" s="116"/>
      <c r="D148" s="117">
        <f>C138</f>
        <v>48267074639.063385</v>
      </c>
      <c r="E148" s="118"/>
      <c r="Q148" s="119"/>
      <c r="AA148" s="297"/>
    </row>
    <row r="149" spans="1:45" s="115" customFormat="1" ht="15.75" x14ac:dyDescent="0.25">
      <c r="A149" s="115" t="s">
        <v>156</v>
      </c>
      <c r="C149" s="120"/>
      <c r="D149" s="117">
        <f>-C107</f>
        <v>14386244380.858557</v>
      </c>
      <c r="E149" s="118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298"/>
    </row>
    <row r="150" spans="1:45" s="115" customFormat="1" ht="15.75" x14ac:dyDescent="0.25">
      <c r="A150" s="115" t="s">
        <v>149</v>
      </c>
      <c r="C150" s="120"/>
      <c r="D150" s="121">
        <f>D148/D149</f>
        <v>3.3550851328012024</v>
      </c>
      <c r="E150" s="118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299"/>
    </row>
    <row r="152" spans="1:45" s="66" customFormat="1" ht="15.75" x14ac:dyDescent="0.25">
      <c r="A152" s="123" t="s">
        <v>164</v>
      </c>
      <c r="B152" s="123"/>
      <c r="C152" s="78"/>
      <c r="D152" s="67"/>
      <c r="E152" s="67"/>
      <c r="AA152" s="300"/>
    </row>
    <row r="153" spans="1:45" s="123" customFormat="1" ht="15.75" x14ac:dyDescent="0.25">
      <c r="A153" s="123" t="s">
        <v>162</v>
      </c>
      <c r="C153" s="124"/>
      <c r="D153" s="125">
        <f>C15+C81</f>
        <v>124259187942.85341</v>
      </c>
      <c r="E153" s="126"/>
      <c r="AA153" s="301"/>
    </row>
    <row r="154" spans="1:45" s="123" customFormat="1" ht="15.75" x14ac:dyDescent="0.25">
      <c r="A154" s="123" t="s">
        <v>163</v>
      </c>
      <c r="C154" s="124"/>
      <c r="D154" s="125">
        <f>-C98+C107</f>
        <v>66793828858.310844</v>
      </c>
      <c r="E154" s="126"/>
      <c r="AA154" s="301"/>
    </row>
    <row r="155" spans="1:45" s="123" customFormat="1" ht="15.75" x14ac:dyDescent="0.25">
      <c r="A155" s="123" t="s">
        <v>165</v>
      </c>
      <c r="C155" s="124"/>
      <c r="D155" s="131">
        <f>D153/D154</f>
        <v>1.8603393467148488</v>
      </c>
      <c r="E155" s="126"/>
      <c r="AA155" s="301"/>
    </row>
    <row r="156" spans="1:45" s="123" customFormat="1" ht="15.75" x14ac:dyDescent="0.25">
      <c r="A156" s="127"/>
      <c r="B156" s="127"/>
      <c r="C156" s="128"/>
      <c r="D156" s="129"/>
      <c r="E156" s="126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302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</row>
    <row r="157" spans="1:45" x14ac:dyDescent="0.2">
      <c r="A157" s="45"/>
      <c r="B157" s="45"/>
      <c r="D157" s="4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288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x14ac:dyDescent="0.2">
      <c r="A158" s="45"/>
      <c r="B158" s="45"/>
    </row>
    <row r="159" spans="1:45" x14ac:dyDescent="0.2">
      <c r="D159" s="1"/>
      <c r="E159" s="1"/>
    </row>
    <row r="160" spans="1:45" x14ac:dyDescent="0.2">
      <c r="D160" s="1"/>
      <c r="E160" s="1"/>
    </row>
    <row r="161" spans="4:47" x14ac:dyDescent="0.2">
      <c r="D161" s="1"/>
      <c r="E161" s="1"/>
    </row>
    <row r="162" spans="4:47" x14ac:dyDescent="0.2">
      <c r="D162" s="1"/>
      <c r="E162" s="1"/>
    </row>
    <row r="163" spans="4:47" x14ac:dyDescent="0.2">
      <c r="D163" s="1"/>
      <c r="E163" s="1"/>
    </row>
    <row r="164" spans="4:47" x14ac:dyDescent="0.2">
      <c r="D164" s="1"/>
      <c r="E164" s="1"/>
    </row>
    <row r="165" spans="4:47" x14ac:dyDescent="0.2">
      <c r="D165" s="1"/>
      <c r="E165" s="1"/>
    </row>
    <row r="166" spans="4:47" x14ac:dyDescent="0.2">
      <c r="D166" s="1"/>
      <c r="E166" s="1"/>
    </row>
    <row r="167" spans="4:47" x14ac:dyDescent="0.2">
      <c r="D167" s="1"/>
      <c r="E167" s="1"/>
    </row>
    <row r="168" spans="4:47" x14ac:dyDescent="0.2">
      <c r="D168" s="1"/>
      <c r="E168" s="1"/>
    </row>
    <row r="169" spans="4:47" x14ac:dyDescent="0.2">
      <c r="D169" s="1"/>
      <c r="E169" s="1"/>
    </row>
    <row r="170" spans="4:47" x14ac:dyDescent="0.2">
      <c r="D170" s="1"/>
      <c r="E170" s="1"/>
    </row>
    <row r="171" spans="4:47" x14ac:dyDescent="0.2">
      <c r="D171" s="1"/>
      <c r="E171" s="1"/>
      <c r="AT171" s="3"/>
    </row>
    <row r="172" spans="4:47" x14ac:dyDescent="0.2">
      <c r="D172" s="1"/>
      <c r="E172" s="1"/>
      <c r="AU172" s="1" t="s">
        <v>27</v>
      </c>
    </row>
    <row r="173" spans="4:47" x14ac:dyDescent="0.2">
      <c r="D173" s="1"/>
      <c r="E173" s="1"/>
      <c r="AU173" s="1" t="s">
        <v>28</v>
      </c>
    </row>
    <row r="174" spans="4:47" x14ac:dyDescent="0.2">
      <c r="D174" s="1"/>
      <c r="E174" s="1"/>
    </row>
    <row r="175" spans="4:47" x14ac:dyDescent="0.2">
      <c r="D175" s="1"/>
      <c r="E175" s="1"/>
    </row>
    <row r="176" spans="4:47" x14ac:dyDescent="0.2">
      <c r="D176" s="1"/>
      <c r="E176" s="1"/>
    </row>
    <row r="177" spans="3:27" x14ac:dyDescent="0.2">
      <c r="D177" s="1"/>
      <c r="E177" s="1"/>
    </row>
    <row r="178" spans="3:27" s="49" customFormat="1" x14ac:dyDescent="0.2">
      <c r="C178" s="79"/>
      <c r="AA178" s="303"/>
    </row>
    <row r="179" spans="3:27" x14ac:dyDescent="0.2">
      <c r="D179" s="1"/>
      <c r="E179" s="1"/>
    </row>
    <row r="180" spans="3:27" x14ac:dyDescent="0.2">
      <c r="D180" s="1"/>
      <c r="E180" s="1"/>
    </row>
    <row r="181" spans="3:27" x14ac:dyDescent="0.2">
      <c r="D181" s="1"/>
      <c r="E181" s="1"/>
    </row>
    <row r="182" spans="3:27" x14ac:dyDescent="0.2">
      <c r="D182" s="1"/>
      <c r="E182" s="1"/>
    </row>
  </sheetData>
  <conditionalFormatting sqref="G79:AS79 F21:AS22 G78:AA78 F41:AS76">
    <cfRule type="cellIs" dxfId="10" priority="23" operator="equal">
      <formula>0</formula>
    </cfRule>
  </conditionalFormatting>
  <conditionalFormatting sqref="F26:AS26">
    <cfRule type="cellIs" dxfId="9" priority="20" operator="equal">
      <formula>0</formula>
    </cfRule>
  </conditionalFormatting>
  <conditionalFormatting sqref="F28:AS39">
    <cfRule type="cellIs" dxfId="8" priority="25" operator="equal">
      <formula>0</formula>
    </cfRule>
  </conditionalFormatting>
  <conditionalFormatting sqref="F80:AS80 AB78:AS78">
    <cfRule type="cellIs" dxfId="7" priority="21" operator="equal">
      <formula>0</formula>
    </cfRule>
  </conditionalFormatting>
  <conditionalFormatting sqref="X44:Z44">
    <cfRule type="cellIs" dxfId="6" priority="14" operator="equal">
      <formula>0</formula>
    </cfRule>
  </conditionalFormatting>
  <conditionalFormatting sqref="X62:Z62">
    <cfRule type="cellIs" dxfId="5" priority="9" operator="equal">
      <formula>0</formula>
    </cfRule>
  </conditionalFormatting>
  <conditionalFormatting sqref="X64:Z64">
    <cfRule type="cellIs" dxfId="4" priority="6" operator="equal">
      <formula>0</formula>
    </cfRule>
  </conditionalFormatting>
  <conditionalFormatting sqref="P44:R44">
    <cfRule type="cellIs" dxfId="3" priority="3" operator="equal">
      <formula>0</formula>
    </cfRule>
  </conditionalFormatting>
  <conditionalFormatting sqref="X64:Z64">
    <cfRule type="cellIs" dxfId="2" priority="2" operator="equal">
      <formula>0</formula>
    </cfRule>
  </conditionalFormatting>
  <conditionalFormatting sqref="P64:R64">
    <cfRule type="cellIs" dxfId="1" priority="1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214"/>
  <sheetViews>
    <sheetView topLeftCell="A16" zoomScale="75" zoomScaleNormal="75" workbookViewId="0">
      <selection activeCell="AG34" sqref="AG34"/>
    </sheetView>
  </sheetViews>
  <sheetFormatPr defaultColWidth="8.7109375" defaultRowHeight="12.75" x14ac:dyDescent="0.2"/>
  <cols>
    <col min="2" max="2" width="13.85546875" customWidth="1"/>
    <col min="3" max="3" width="44.7109375" bestFit="1" customWidth="1"/>
    <col min="4" max="4" width="18.7109375" customWidth="1"/>
    <col min="5" max="6" width="15.140625" customWidth="1"/>
    <col min="7" max="7" width="16.85546875" customWidth="1"/>
    <col min="8" max="8" width="18.28515625" customWidth="1"/>
    <col min="9" max="9" width="16.28515625" customWidth="1"/>
    <col min="10" max="37" width="18.42578125" bestFit="1" customWidth="1"/>
    <col min="38" max="39" width="15.85546875" bestFit="1" customWidth="1"/>
  </cols>
  <sheetData>
    <row r="1" spans="2:33" x14ac:dyDescent="0.2">
      <c r="D1" s="402">
        <f>SUM(E1:AG1)</f>
        <v>961</v>
      </c>
      <c r="E1">
        <v>57</v>
      </c>
      <c r="F1">
        <v>18</v>
      </c>
      <c r="G1">
        <v>11</v>
      </c>
      <c r="H1">
        <v>14</v>
      </c>
      <c r="I1">
        <f t="shared" ref="I1:Z1" si="0">I22*$D$8</f>
        <v>12</v>
      </c>
      <c r="J1">
        <v>30</v>
      </c>
      <c r="K1" s="404">
        <v>36</v>
      </c>
      <c r="L1">
        <f t="shared" si="0"/>
        <v>40</v>
      </c>
      <c r="M1">
        <f t="shared" si="0"/>
        <v>42</v>
      </c>
      <c r="N1">
        <v>35</v>
      </c>
      <c r="O1">
        <v>41</v>
      </c>
      <c r="P1">
        <v>45</v>
      </c>
      <c r="Q1">
        <v>46</v>
      </c>
      <c r="R1">
        <v>47</v>
      </c>
      <c r="S1" s="404">
        <v>47</v>
      </c>
      <c r="T1">
        <f t="shared" si="0"/>
        <v>46</v>
      </c>
      <c r="U1">
        <f t="shared" si="0"/>
        <v>46</v>
      </c>
      <c r="V1">
        <v>44</v>
      </c>
      <c r="W1">
        <v>43</v>
      </c>
      <c r="X1">
        <v>41</v>
      </c>
      <c r="Y1">
        <f t="shared" si="0"/>
        <v>34</v>
      </c>
      <c r="Z1">
        <f t="shared" si="0"/>
        <v>34</v>
      </c>
      <c r="AA1">
        <v>30</v>
      </c>
      <c r="AB1" s="404">
        <v>27</v>
      </c>
      <c r="AC1">
        <v>27</v>
      </c>
      <c r="AD1">
        <v>27</v>
      </c>
      <c r="AE1">
        <v>19</v>
      </c>
      <c r="AF1">
        <v>17</v>
      </c>
      <c r="AG1">
        <v>5</v>
      </c>
    </row>
    <row r="2" spans="2:33" x14ac:dyDescent="0.2">
      <c r="D2" s="402">
        <f t="shared" ref="D2:D4" si="1">SUM(E2:AG2)</f>
        <v>720</v>
      </c>
      <c r="E2">
        <v>42</v>
      </c>
      <c r="F2">
        <v>13</v>
      </c>
      <c r="G2">
        <v>9</v>
      </c>
      <c r="H2">
        <v>11</v>
      </c>
      <c r="I2">
        <f t="shared" ref="I2:L2" si="2">I22*$D$9</f>
        <v>9</v>
      </c>
      <c r="J2">
        <v>23</v>
      </c>
      <c r="K2">
        <v>26</v>
      </c>
      <c r="L2">
        <f t="shared" si="2"/>
        <v>30</v>
      </c>
      <c r="M2">
        <v>32</v>
      </c>
      <c r="N2">
        <v>26</v>
      </c>
      <c r="O2">
        <v>31</v>
      </c>
      <c r="P2" s="404">
        <v>35</v>
      </c>
      <c r="Q2">
        <v>35</v>
      </c>
      <c r="R2">
        <v>35</v>
      </c>
      <c r="S2">
        <v>33</v>
      </c>
      <c r="T2">
        <v>34</v>
      </c>
      <c r="U2">
        <v>34</v>
      </c>
      <c r="V2">
        <v>33</v>
      </c>
      <c r="W2">
        <v>33</v>
      </c>
      <c r="X2">
        <v>31</v>
      </c>
      <c r="Y2">
        <v>25</v>
      </c>
      <c r="Z2">
        <v>25</v>
      </c>
      <c r="AA2">
        <v>22</v>
      </c>
      <c r="AB2">
        <v>21</v>
      </c>
      <c r="AC2">
        <v>21</v>
      </c>
      <c r="AD2">
        <v>21</v>
      </c>
      <c r="AE2">
        <v>14</v>
      </c>
      <c r="AF2">
        <v>12</v>
      </c>
      <c r="AG2">
        <v>4</v>
      </c>
    </row>
    <row r="3" spans="2:33" x14ac:dyDescent="0.2">
      <c r="D3" s="402">
        <f t="shared" si="1"/>
        <v>720</v>
      </c>
      <c r="E3">
        <v>42</v>
      </c>
      <c r="F3">
        <v>13</v>
      </c>
      <c r="G3">
        <v>9</v>
      </c>
      <c r="H3">
        <v>11</v>
      </c>
      <c r="I3">
        <f t="shared" ref="I3:L3" si="3">I22*$D$10</f>
        <v>9</v>
      </c>
      <c r="J3">
        <v>23</v>
      </c>
      <c r="K3">
        <v>27</v>
      </c>
      <c r="L3">
        <f t="shared" si="3"/>
        <v>30</v>
      </c>
      <c r="M3">
        <v>31</v>
      </c>
      <c r="N3">
        <v>27</v>
      </c>
      <c r="O3">
        <v>31</v>
      </c>
      <c r="P3" s="404">
        <v>31</v>
      </c>
      <c r="Q3">
        <v>34</v>
      </c>
      <c r="R3">
        <v>36</v>
      </c>
      <c r="S3">
        <v>33</v>
      </c>
      <c r="T3">
        <v>35</v>
      </c>
      <c r="U3">
        <v>35</v>
      </c>
      <c r="V3">
        <v>34</v>
      </c>
      <c r="W3">
        <v>33</v>
      </c>
      <c r="X3">
        <v>31</v>
      </c>
      <c r="Y3" s="404">
        <v>25</v>
      </c>
      <c r="Z3" s="404">
        <v>25</v>
      </c>
      <c r="AA3">
        <v>22</v>
      </c>
      <c r="AB3">
        <v>21</v>
      </c>
      <c r="AC3">
        <v>21</v>
      </c>
      <c r="AD3">
        <v>21</v>
      </c>
      <c r="AE3">
        <v>14</v>
      </c>
      <c r="AF3">
        <v>12</v>
      </c>
      <c r="AG3">
        <v>4</v>
      </c>
    </row>
    <row r="4" spans="2:33" x14ac:dyDescent="0.2">
      <c r="D4" s="402">
        <f t="shared" si="1"/>
        <v>2401</v>
      </c>
      <c r="E4">
        <f>E1+E2+E3</f>
        <v>141</v>
      </c>
      <c r="F4">
        <f t="shared" ref="F4:AG4" si="4">F1+F2+F3</f>
        <v>44</v>
      </c>
      <c r="G4">
        <f t="shared" si="4"/>
        <v>29</v>
      </c>
      <c r="H4">
        <f t="shared" si="4"/>
        <v>36</v>
      </c>
      <c r="I4">
        <f t="shared" si="4"/>
        <v>30</v>
      </c>
      <c r="J4">
        <f t="shared" si="4"/>
        <v>76</v>
      </c>
      <c r="K4">
        <f t="shared" si="4"/>
        <v>89</v>
      </c>
      <c r="L4">
        <f t="shared" si="4"/>
        <v>100</v>
      </c>
      <c r="M4">
        <f t="shared" si="4"/>
        <v>105</v>
      </c>
      <c r="N4">
        <f t="shared" si="4"/>
        <v>88</v>
      </c>
      <c r="O4">
        <f t="shared" si="4"/>
        <v>103</v>
      </c>
      <c r="P4">
        <f t="shared" si="4"/>
        <v>111</v>
      </c>
      <c r="Q4">
        <f t="shared" si="4"/>
        <v>115</v>
      </c>
      <c r="R4">
        <f t="shared" si="4"/>
        <v>118</v>
      </c>
      <c r="S4">
        <f t="shared" si="4"/>
        <v>113</v>
      </c>
      <c r="T4">
        <f t="shared" si="4"/>
        <v>115</v>
      </c>
      <c r="U4">
        <f t="shared" si="4"/>
        <v>115</v>
      </c>
      <c r="V4">
        <f t="shared" si="4"/>
        <v>111</v>
      </c>
      <c r="W4">
        <f t="shared" si="4"/>
        <v>109</v>
      </c>
      <c r="X4">
        <f t="shared" si="4"/>
        <v>103</v>
      </c>
      <c r="Y4">
        <f t="shared" si="4"/>
        <v>84</v>
      </c>
      <c r="Z4">
        <f t="shared" si="4"/>
        <v>84</v>
      </c>
      <c r="AA4">
        <f t="shared" si="4"/>
        <v>74</v>
      </c>
      <c r="AB4">
        <f t="shared" si="4"/>
        <v>69</v>
      </c>
      <c r="AC4">
        <f t="shared" si="4"/>
        <v>69</v>
      </c>
      <c r="AD4">
        <f t="shared" si="4"/>
        <v>69</v>
      </c>
      <c r="AE4">
        <f t="shared" si="4"/>
        <v>47</v>
      </c>
      <c r="AF4">
        <f t="shared" si="4"/>
        <v>41</v>
      </c>
      <c r="AG4">
        <f t="shared" si="4"/>
        <v>13</v>
      </c>
    </row>
    <row r="5" spans="2:33" ht="15.75" x14ac:dyDescent="0.25">
      <c r="B5" s="84"/>
      <c r="C5" s="84" t="str">
        <f>ТЭПы!B38</f>
        <v>Квартирография - цены старта продаж</v>
      </c>
      <c r="D5" s="84"/>
      <c r="E5" s="84"/>
      <c r="F5" s="84"/>
      <c r="G5" s="84"/>
      <c r="H5" s="84"/>
      <c r="I5" s="84"/>
      <c r="J5" s="84"/>
      <c r="K5" s="84"/>
    </row>
    <row r="6" spans="2:33" x14ac:dyDescent="0.2">
      <c r="B6" s="147"/>
      <c r="C6" s="147"/>
      <c r="D6" s="147"/>
      <c r="E6" s="147"/>
      <c r="F6" s="148"/>
      <c r="G6" s="147"/>
      <c r="H6" s="147"/>
      <c r="I6" s="147"/>
      <c r="J6" s="148"/>
      <c r="K6" s="148"/>
    </row>
    <row r="7" spans="2:33" x14ac:dyDescent="0.2">
      <c r="B7" s="150">
        <f>ТЭПы!A40</f>
        <v>0</v>
      </c>
      <c r="C7" s="177" t="str">
        <f>ТЭПы!B40</f>
        <v>Типы квартир</v>
      </c>
      <c r="D7" s="178">
        <f>ТЭПы!C40</f>
        <v>0</v>
      </c>
      <c r="E7" s="153" t="str">
        <f>ТЭПы!D40</f>
        <v>S квартиры</v>
      </c>
      <c r="F7" s="153" t="str">
        <f>ТЭПы!E40</f>
        <v>S</v>
      </c>
      <c r="G7" s="153" t="str">
        <f>ТЭПы!F40</f>
        <v>кол-во</v>
      </c>
      <c r="H7" s="153" t="str">
        <f>ТЭПы!G40</f>
        <v>цена 1м2</v>
      </c>
      <c r="I7" s="153" t="str">
        <f>ТЭПы!H40</f>
        <v>Средний чек</v>
      </c>
      <c r="J7" s="153" t="str">
        <f>ТЭПы!I40</f>
        <v>Норматив</v>
      </c>
      <c r="K7" s="153" t="str">
        <f>ТЭПы!J40</f>
        <v>Машиноместа</v>
      </c>
    </row>
    <row r="8" spans="2:33" x14ac:dyDescent="0.2">
      <c r="B8" s="150">
        <f>ТЭПы!A41</f>
        <v>0</v>
      </c>
      <c r="C8" s="179" t="str">
        <f>ТЭПы!B41</f>
        <v xml:space="preserve">Квартиры Тип 1 </v>
      </c>
      <c r="D8" s="180">
        <f>ТЭПы!C41</f>
        <v>0.4</v>
      </c>
      <c r="E8" s="175">
        <f>ТЭПы!D41</f>
        <v>35.107999999999997</v>
      </c>
      <c r="F8" s="364">
        <f>ТЭПы!E41</f>
        <v>33738.788</v>
      </c>
      <c r="G8" s="181">
        <f>ТЭПы!F41</f>
        <v>961</v>
      </c>
      <c r="H8" s="176">
        <f>ТЭПы!G41</f>
        <v>497703</v>
      </c>
      <c r="I8" s="182">
        <f>ТЭПы!H41</f>
        <v>17473356.923999999</v>
      </c>
      <c r="J8" s="105">
        <f>ТЭПы!I41</f>
        <v>0.8</v>
      </c>
      <c r="K8" s="159">
        <f>ТЭПы!J41</f>
        <v>768.80000000000007</v>
      </c>
      <c r="L8">
        <f>G8*E8</f>
        <v>33738.788</v>
      </c>
    </row>
    <row r="9" spans="2:33" x14ac:dyDescent="0.2">
      <c r="B9" s="150">
        <f>ТЭПы!A42</f>
        <v>0</v>
      </c>
      <c r="C9" s="179" t="str">
        <f>ТЭПы!B42</f>
        <v xml:space="preserve">Квартиры Тип 2 </v>
      </c>
      <c r="D9" s="180">
        <f>ТЭПы!C42</f>
        <v>0.3</v>
      </c>
      <c r="E9" s="175">
        <f>ТЭПы!D42</f>
        <v>60.53</v>
      </c>
      <c r="F9" s="364">
        <f>ТЭПы!E42</f>
        <v>43581.599999999999</v>
      </c>
      <c r="G9" s="366">
        <f>ТЭПы!F42</f>
        <v>720</v>
      </c>
      <c r="H9" s="176">
        <f>ТЭПы!G42</f>
        <v>497703</v>
      </c>
      <c r="I9" s="182">
        <f>ТЭПы!H42</f>
        <v>30125962.59</v>
      </c>
      <c r="J9" s="105">
        <f>ТЭПы!I42</f>
        <v>1.2</v>
      </c>
      <c r="K9" s="159">
        <f>ТЭПы!J42</f>
        <v>864</v>
      </c>
    </row>
    <row r="10" spans="2:33" x14ac:dyDescent="0.2">
      <c r="B10" s="150">
        <f>ТЭПы!A43</f>
        <v>0</v>
      </c>
      <c r="C10" s="179" t="str">
        <f>ТЭПы!B43</f>
        <v xml:space="preserve">Квартиры Тип 3 </v>
      </c>
      <c r="D10" s="180">
        <f>ТЭПы!C43</f>
        <v>0.3</v>
      </c>
      <c r="E10" s="175">
        <f>ТЭПы!D43</f>
        <v>92</v>
      </c>
      <c r="F10" s="364">
        <f>ТЭПы!E43</f>
        <v>66240</v>
      </c>
      <c r="G10" s="181">
        <f>ТЭПы!F43</f>
        <v>720</v>
      </c>
      <c r="H10" s="176">
        <f>ТЭПы!G43</f>
        <v>497703</v>
      </c>
      <c r="I10" s="182">
        <f>ТЭПы!H43</f>
        <v>45788676</v>
      </c>
      <c r="J10" s="105">
        <f>ТЭПы!I43</f>
        <v>1.6</v>
      </c>
      <c r="K10" s="159">
        <f>ТЭПы!J43</f>
        <v>1152</v>
      </c>
      <c r="L10" s="335"/>
    </row>
    <row r="11" spans="2:33" x14ac:dyDescent="0.2">
      <c r="B11" s="150">
        <f>ТЭПы!A44</f>
        <v>0</v>
      </c>
      <c r="C11" s="183">
        <f>ТЭПы!B44</f>
        <v>0</v>
      </c>
      <c r="D11" s="184">
        <f>ТЭПы!C44</f>
        <v>0</v>
      </c>
      <c r="E11" s="185">
        <f>ТЭПы!D44</f>
        <v>59.791915035401921</v>
      </c>
      <c r="F11" s="186">
        <f>ТЭПы!E44</f>
        <v>143560.38800000001</v>
      </c>
      <c r="G11" s="187">
        <f>ТЭПы!F44</f>
        <v>2401</v>
      </c>
      <c r="H11" s="188">
        <f>ТЭПы!G44</f>
        <v>497703</v>
      </c>
      <c r="I11" s="188">
        <f>ТЭПы!H44</f>
        <v>31129331.838</v>
      </c>
      <c r="J11" s="163">
        <f>ТЭПы!I44</f>
        <v>1.2</v>
      </c>
      <c r="K11" s="162">
        <f>ТЭПы!J44</f>
        <v>862</v>
      </c>
    </row>
    <row r="12" spans="2:33" x14ac:dyDescent="0.2">
      <c r="B12" s="147"/>
      <c r="C12" s="189"/>
      <c r="D12" s="189"/>
      <c r="E12" s="189"/>
      <c r="F12" s="190"/>
      <c r="G12" s="189"/>
      <c r="H12" s="189"/>
      <c r="I12" s="189"/>
      <c r="J12" s="148"/>
      <c r="K12" s="148"/>
    </row>
    <row r="13" spans="2:33" x14ac:dyDescent="0.2">
      <c r="B13" s="147"/>
      <c r="C13" s="189"/>
      <c r="D13" s="189"/>
      <c r="E13" s="189"/>
      <c r="F13" s="189"/>
      <c r="G13" s="189"/>
      <c r="H13" s="189"/>
      <c r="I13" s="189"/>
      <c r="J13" s="148"/>
      <c r="K13" s="148"/>
    </row>
    <row r="14" spans="2:33" x14ac:dyDescent="0.2">
      <c r="B14" s="150">
        <f>ТЭПы!A47</f>
        <v>0</v>
      </c>
      <c r="C14" s="177" t="str">
        <f>ТЭПы!B47</f>
        <v>Типы прочих помещений</v>
      </c>
      <c r="D14" s="177">
        <f>ТЭПы!C47</f>
        <v>0</v>
      </c>
      <c r="E14" s="153" t="str">
        <f>ТЭПы!D47</f>
        <v>S коммерции</v>
      </c>
      <c r="F14" s="153" t="str">
        <f>ТЭПы!E47</f>
        <v>S</v>
      </c>
      <c r="G14" s="153" t="str">
        <f>ТЭПы!F47</f>
        <v>кол-во</v>
      </c>
      <c r="H14" s="153" t="str">
        <f>ТЭПы!G47</f>
        <v>цена 1м2</v>
      </c>
      <c r="I14" s="153" t="str">
        <f>ТЭПы!H47</f>
        <v>Средний чек</v>
      </c>
      <c r="J14" s="104">
        <f>ТЭПы!I47</f>
        <v>0</v>
      </c>
      <c r="K14" s="104">
        <f>ТЭПы!J47</f>
        <v>0</v>
      </c>
    </row>
    <row r="15" spans="2:33" x14ac:dyDescent="0.2">
      <c r="B15" s="150">
        <f>ТЭПы!A48</f>
        <v>0</v>
      </c>
      <c r="C15" s="179" t="str">
        <f>ТЭПы!B48</f>
        <v>ПСН</v>
      </c>
      <c r="D15" s="178">
        <f>ТЭПы!C48</f>
        <v>10332</v>
      </c>
      <c r="E15" s="175">
        <f>ТЭПы!D48</f>
        <v>80</v>
      </c>
      <c r="F15" s="184">
        <f>ТЭПы!E48</f>
        <v>10322</v>
      </c>
      <c r="G15" s="181">
        <f>ТЭПы!F48</f>
        <v>129.02500000000001</v>
      </c>
      <c r="H15" s="176">
        <f>ТЭПы!G48</f>
        <v>600000</v>
      </c>
      <c r="I15" s="182">
        <f>ТЭПы!H48</f>
        <v>48000000</v>
      </c>
      <c r="J15" s="104">
        <f>ТЭПы!I48</f>
        <v>0</v>
      </c>
      <c r="K15" s="104">
        <f>ТЭПы!J48</f>
        <v>0</v>
      </c>
    </row>
    <row r="16" spans="2:33" x14ac:dyDescent="0.2">
      <c r="B16" s="150">
        <f>ТЭПы!A49</f>
        <v>0</v>
      </c>
      <c r="C16" s="179" t="str">
        <f>ТЭПы!B49</f>
        <v>Машиноместа</v>
      </c>
      <c r="D16" s="178">
        <f>ТЭПы!C49</f>
        <v>5200</v>
      </c>
      <c r="E16" s="181">
        <f>ТЭПы!D49</f>
        <v>40.945</v>
      </c>
      <c r="F16" s="184">
        <f>ТЭПы!E49</f>
        <v>35294.590000000004</v>
      </c>
      <c r="G16" s="181">
        <f>ТЭПы!F49</f>
        <v>862</v>
      </c>
      <c r="H16" s="176">
        <f>ТЭПы!G49</f>
        <v>270000</v>
      </c>
      <c r="I16" s="182">
        <f>ТЭПы!H49</f>
        <v>11055150</v>
      </c>
      <c r="J16" s="104">
        <f>ТЭПы!I49</f>
        <v>0</v>
      </c>
      <c r="K16" s="104">
        <f>ТЭПы!J49</f>
        <v>0</v>
      </c>
    </row>
    <row r="17" spans="2:39" x14ac:dyDescent="0.2">
      <c r="B17" s="150">
        <f>ТЭПы!A50</f>
        <v>0</v>
      </c>
      <c r="C17" s="179" t="str">
        <f>ТЭПы!B50</f>
        <v>Прочие помещения</v>
      </c>
      <c r="D17" s="178">
        <f>ТЭПы!C50</f>
        <v>0</v>
      </c>
      <c r="E17" s="175">
        <f>ТЭПы!D50</f>
        <v>0</v>
      </c>
      <c r="F17" s="175">
        <f>ТЭПы!E50</f>
        <v>0</v>
      </c>
      <c r="G17" s="175">
        <f>ТЭПы!F50</f>
        <v>0</v>
      </c>
      <c r="H17" s="183">
        <f>ТЭПы!G50</f>
        <v>0</v>
      </c>
      <c r="I17" s="182">
        <f>ТЭПы!H50</f>
        <v>0</v>
      </c>
      <c r="J17" s="104">
        <f>ТЭПы!I50</f>
        <v>0</v>
      </c>
      <c r="K17" s="104">
        <f>ТЭПы!J50</f>
        <v>0</v>
      </c>
    </row>
    <row r="18" spans="2:39" x14ac:dyDescent="0.2">
      <c r="B18" s="150">
        <f>ТЭПы!A51</f>
        <v>0</v>
      </c>
      <c r="C18" s="150">
        <f>ТЭПы!B51</f>
        <v>0</v>
      </c>
      <c r="D18" s="150">
        <f>ТЭПы!C51</f>
        <v>0</v>
      </c>
      <c r="E18" s="150">
        <f>ТЭПы!D51</f>
        <v>0</v>
      </c>
      <c r="F18" s="165">
        <f>ТЭПы!E51</f>
        <v>45616.590000000004</v>
      </c>
      <c r="G18" s="161">
        <f>ТЭПы!F51</f>
        <v>991.02499999999998</v>
      </c>
      <c r="H18" s="162">
        <f>ТЭПы!G51</f>
        <v>435000</v>
      </c>
      <c r="I18" s="150">
        <f>ТЭПы!H51</f>
        <v>0</v>
      </c>
      <c r="J18" s="104">
        <f>ТЭПы!I51</f>
        <v>0</v>
      </c>
      <c r="K18" s="104">
        <f>ТЭПы!J51</f>
        <v>0</v>
      </c>
    </row>
    <row r="19" spans="2:39" x14ac:dyDescent="0.2">
      <c r="B19" s="147"/>
      <c r="C19" s="147"/>
      <c r="D19" s="147"/>
      <c r="E19" s="147"/>
      <c r="F19" s="399"/>
      <c r="G19" s="400"/>
      <c r="H19" s="401"/>
      <c r="I19" s="147"/>
      <c r="J19" s="148"/>
      <c r="K19" s="148"/>
    </row>
    <row r="20" spans="2:39" x14ac:dyDescent="0.2">
      <c r="B20" s="147"/>
      <c r="C20" s="147"/>
      <c r="D20" s="147"/>
      <c r="E20" s="147"/>
      <c r="F20" s="399"/>
      <c r="G20" s="400"/>
      <c r="H20" s="401"/>
      <c r="I20" s="147"/>
      <c r="J20" s="148"/>
      <c r="K20" s="148"/>
    </row>
    <row r="21" spans="2:39" x14ac:dyDescent="0.2">
      <c r="D21" s="402">
        <f>SUM(E21:AG21)</f>
        <v>143560.33319999999</v>
      </c>
      <c r="E21" s="397">
        <v>9314.2000000000007</v>
      </c>
      <c r="F21" s="397">
        <v>2888.2</v>
      </c>
      <c r="G21" s="397">
        <v>1900</v>
      </c>
      <c r="H21" s="397">
        <v>2400</v>
      </c>
      <c r="I21" s="397">
        <v>1970.6585600000021</v>
      </c>
      <c r="J21" s="397">
        <v>4635.3317729999999</v>
      </c>
      <c r="K21" s="397">
        <v>5297.1554850000002</v>
      </c>
      <c r="L21" s="397">
        <v>5958.9791969999997</v>
      </c>
      <c r="M21" s="397">
        <v>6199.6423649999997</v>
      </c>
      <c r="N21" s="397">
        <v>5297.1554850000002</v>
      </c>
      <c r="O21" s="397">
        <v>6197.1186210000005</v>
      </c>
      <c r="P21" s="397">
        <v>6737.0965026000003</v>
      </c>
      <c r="Q21" s="397">
        <v>6977.0866722000001</v>
      </c>
      <c r="R21" s="397">
        <v>7097.0817569999999</v>
      </c>
      <c r="S21" s="397">
        <v>6610.2088500000009</v>
      </c>
      <c r="T21" s="397">
        <v>6910.1965620000001</v>
      </c>
      <c r="U21" s="397">
        <v>6910.1965620000001</v>
      </c>
      <c r="V21" s="397">
        <v>6529.3747519999642</v>
      </c>
      <c r="W21" s="397">
        <v>6308.2158719999998</v>
      </c>
      <c r="X21" s="397">
        <v>5994.0858770000332</v>
      </c>
      <c r="Y21" s="397">
        <v>4808.2158719999998</v>
      </c>
      <c r="Z21" s="397">
        <v>4808.2158719999998</v>
      </c>
      <c r="AA21" s="397">
        <v>4206.5579520000001</v>
      </c>
      <c r="AB21" s="397">
        <v>3906.57024</v>
      </c>
      <c r="AC21" s="397">
        <v>3906.57024</v>
      </c>
      <c r="AD21" s="397">
        <v>3906.57024</v>
      </c>
      <c r="AE21" s="397">
        <v>2703.2543999999375</v>
      </c>
      <c r="AF21" s="397">
        <v>2402.425440000055</v>
      </c>
      <c r="AG21" s="397">
        <v>779.96805120000136</v>
      </c>
    </row>
    <row r="22" spans="2:39" x14ac:dyDescent="0.2">
      <c r="B22" s="403">
        <f>B28+B33+B38</f>
        <v>2401</v>
      </c>
      <c r="D22" s="402">
        <f>SUM(E22:AG22)</f>
        <v>2401</v>
      </c>
      <c r="E22" s="398">
        <v>141</v>
      </c>
      <c r="F22" s="398">
        <v>44</v>
      </c>
      <c r="G22" s="398">
        <v>29</v>
      </c>
      <c r="H22" s="398">
        <v>36</v>
      </c>
      <c r="I22" s="398">
        <v>30</v>
      </c>
      <c r="J22" s="398">
        <v>76</v>
      </c>
      <c r="K22" s="398">
        <v>88</v>
      </c>
      <c r="L22" s="398">
        <v>100</v>
      </c>
      <c r="M22" s="398">
        <v>105</v>
      </c>
      <c r="N22" s="398">
        <v>88</v>
      </c>
      <c r="O22" s="398">
        <v>103</v>
      </c>
      <c r="P22" s="398">
        <v>112</v>
      </c>
      <c r="Q22" s="398">
        <v>116</v>
      </c>
      <c r="R22" s="398">
        <v>118</v>
      </c>
      <c r="S22" s="398">
        <v>111</v>
      </c>
      <c r="T22" s="398">
        <v>115</v>
      </c>
      <c r="U22" s="398">
        <v>115</v>
      </c>
      <c r="V22" s="398">
        <v>111</v>
      </c>
      <c r="W22" s="398">
        <v>108</v>
      </c>
      <c r="X22" s="398">
        <v>103</v>
      </c>
      <c r="Y22" s="398">
        <v>85</v>
      </c>
      <c r="Z22" s="398">
        <v>85</v>
      </c>
      <c r="AA22" s="398">
        <v>74</v>
      </c>
      <c r="AB22" s="398">
        <v>69</v>
      </c>
      <c r="AC22" s="398">
        <v>69</v>
      </c>
      <c r="AD22" s="398">
        <v>69</v>
      </c>
      <c r="AE22" s="398">
        <v>47</v>
      </c>
      <c r="AF22" s="398">
        <v>41</v>
      </c>
      <c r="AG22" s="398">
        <v>13</v>
      </c>
    </row>
    <row r="23" spans="2:39" ht="15.75" x14ac:dyDescent="0.25">
      <c r="B23" s="84"/>
      <c r="C23" s="84" t="s">
        <v>281</v>
      </c>
      <c r="D23" s="84"/>
      <c r="E23" s="84" t="s">
        <v>153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 t="s">
        <v>154</v>
      </c>
      <c r="AG23" s="84" t="s">
        <v>252</v>
      </c>
    </row>
    <row r="24" spans="2:39" s="103" customFormat="1" ht="15.75" x14ac:dyDescent="0.25">
      <c r="B24" s="203"/>
      <c r="C24" s="204" t="s">
        <v>203</v>
      </c>
      <c r="D24" s="203"/>
      <c r="E24" s="390" t="s">
        <v>354</v>
      </c>
      <c r="F24" s="390" t="s">
        <v>355</v>
      </c>
      <c r="G24" s="390" t="s">
        <v>356</v>
      </c>
      <c r="H24" s="390" t="s">
        <v>357</v>
      </c>
      <c r="I24" s="393" t="s">
        <v>358</v>
      </c>
      <c r="J24" s="393" t="s">
        <v>359</v>
      </c>
      <c r="K24" s="393" t="s">
        <v>360</v>
      </c>
      <c r="L24" s="393" t="s">
        <v>240</v>
      </c>
      <c r="M24" s="391" t="s">
        <v>241</v>
      </c>
      <c r="N24" s="391" t="s">
        <v>242</v>
      </c>
      <c r="O24" s="391" t="s">
        <v>243</v>
      </c>
      <c r="P24" s="391" t="s">
        <v>244</v>
      </c>
      <c r="Q24" s="394" t="s">
        <v>245</v>
      </c>
      <c r="R24" s="394" t="s">
        <v>246</v>
      </c>
      <c r="S24" s="394" t="s">
        <v>247</v>
      </c>
      <c r="T24" s="394" t="s">
        <v>248</v>
      </c>
      <c r="U24" s="392" t="s">
        <v>249</v>
      </c>
      <c r="V24" s="392" t="s">
        <v>250</v>
      </c>
      <c r="W24" s="392" t="s">
        <v>361</v>
      </c>
      <c r="X24" s="392" t="s">
        <v>362</v>
      </c>
      <c r="Y24" s="395" t="s">
        <v>363</v>
      </c>
      <c r="Z24" s="395" t="s">
        <v>364</v>
      </c>
      <c r="AA24" s="395" t="s">
        <v>365</v>
      </c>
      <c r="AB24" s="395" t="s">
        <v>366</v>
      </c>
      <c r="AC24" s="396" t="s">
        <v>367</v>
      </c>
      <c r="AD24" s="396" t="s">
        <v>368</v>
      </c>
      <c r="AE24" s="396" t="s">
        <v>369</v>
      </c>
      <c r="AF24" s="396" t="s">
        <v>370</v>
      </c>
      <c r="AG24" s="205" t="s">
        <v>328</v>
      </c>
      <c r="AH24" s="205" t="s">
        <v>282</v>
      </c>
      <c r="AI24" s="205" t="s">
        <v>283</v>
      </c>
      <c r="AJ24" s="205" t="s">
        <v>284</v>
      </c>
      <c r="AK24" s="205" t="s">
        <v>285</v>
      </c>
      <c r="AL24" s="205" t="s">
        <v>286</v>
      </c>
      <c r="AM24" s="205" t="s">
        <v>287</v>
      </c>
    </row>
    <row r="25" spans="2:39" s="103" customFormat="1" ht="15.75" x14ac:dyDescent="0.25">
      <c r="B25" s="203"/>
      <c r="C25" s="204" t="s">
        <v>207</v>
      </c>
      <c r="D25" s="206">
        <f t="shared" ref="D25:AM25" si="5">D27+D32+D37+D42+D52+D47</f>
        <v>118130288024.50388</v>
      </c>
      <c r="E25" s="207">
        <f t="shared" si="5"/>
        <v>4184396165.448</v>
      </c>
      <c r="F25" s="207">
        <f t="shared" si="5"/>
        <v>1327438940.8280399</v>
      </c>
      <c r="G25" s="207">
        <f t="shared" si="5"/>
        <v>910806395.88234961</v>
      </c>
      <c r="H25" s="207">
        <f t="shared" si="5"/>
        <v>1145773565.8414426</v>
      </c>
      <c r="I25" s="207">
        <f t="shared" si="5"/>
        <v>966516697.75369287</v>
      </c>
      <c r="J25" s="207">
        <f t="shared" si="5"/>
        <v>2506525526.8464594</v>
      </c>
      <c r="K25" s="207">
        <f t="shared" si="5"/>
        <v>2982765190.1158152</v>
      </c>
      <c r="L25" s="207">
        <f t="shared" si="5"/>
        <v>3622099783.7054105</v>
      </c>
      <c r="M25" s="207">
        <f t="shared" si="5"/>
        <v>3885636630.0461707</v>
      </c>
      <c r="N25" s="207">
        <f t="shared" si="5"/>
        <v>3395478627.4537606</v>
      </c>
      <c r="O25" s="207">
        <f t="shared" si="5"/>
        <v>4025021543.5035386</v>
      </c>
      <c r="P25" s="207">
        <f t="shared" si="5"/>
        <v>4562188090.063899</v>
      </c>
      <c r="Q25" s="207">
        <f t="shared" si="5"/>
        <v>4891867441.0956249</v>
      </c>
      <c r="R25" s="207">
        <f t="shared" si="5"/>
        <v>5325358595.5541496</v>
      </c>
      <c r="S25" s="207">
        <f t="shared" si="5"/>
        <v>5214874181.9866924</v>
      </c>
      <c r="T25" s="207">
        <f t="shared" si="5"/>
        <v>5621785192.1031818</v>
      </c>
      <c r="U25" s="207">
        <f t="shared" si="5"/>
        <v>5949611796.7453861</v>
      </c>
      <c r="V25" s="207">
        <f t="shared" si="5"/>
        <v>5975290890.9104586</v>
      </c>
      <c r="W25" s="207">
        <f t="shared" si="5"/>
        <v>6083390330.1103821</v>
      </c>
      <c r="X25" s="207">
        <f t="shared" si="5"/>
        <v>6265137552.4220562</v>
      </c>
      <c r="Y25" s="207">
        <f t="shared" si="5"/>
        <v>5236897437.9479446</v>
      </c>
      <c r="Z25" s="207">
        <f t="shared" si="5"/>
        <v>4907416303.926034</v>
      </c>
      <c r="AA25" s="207">
        <f t="shared" si="5"/>
        <v>5321515423.2366829</v>
      </c>
      <c r="AB25" s="207">
        <f t="shared" si="5"/>
        <v>4885838105.2203197</v>
      </c>
      <c r="AC25" s="207">
        <f t="shared" si="5"/>
        <v>5019117897.4417973</v>
      </c>
      <c r="AD25" s="207">
        <f t="shared" si="5"/>
        <v>5330006902.7222013</v>
      </c>
      <c r="AE25" s="207">
        <f t="shared" si="5"/>
        <v>3820872693.8372025</v>
      </c>
      <c r="AF25" s="207">
        <f t="shared" si="5"/>
        <v>3073062335.0190625</v>
      </c>
      <c r="AG25" s="207">
        <f t="shared" si="5"/>
        <v>1077401472.368937</v>
      </c>
      <c r="AH25" s="207">
        <f t="shared" si="5"/>
        <v>188594706.10958454</v>
      </c>
      <c r="AI25" s="207">
        <f t="shared" si="5"/>
        <v>192366600.23177621</v>
      </c>
      <c r="AJ25" s="207">
        <f t="shared" si="5"/>
        <v>235235008.02579966</v>
      </c>
      <c r="AK25" s="207">
        <f t="shared" si="5"/>
        <v>0</v>
      </c>
      <c r="AL25" s="207">
        <f t="shared" si="5"/>
        <v>0</v>
      </c>
      <c r="AM25" s="207">
        <f t="shared" si="5"/>
        <v>0</v>
      </c>
    </row>
    <row r="26" spans="2:39" s="103" customFormat="1" ht="15.75" x14ac:dyDescent="0.25">
      <c r="B26" s="203"/>
      <c r="C26" s="204" t="s">
        <v>204</v>
      </c>
      <c r="D26" s="206">
        <f>D29+D34+D39+D44</f>
        <v>116852.04600000003</v>
      </c>
      <c r="E26" s="208">
        <f t="shared" ref="E26:AM26" si="6">E29+E34+E39+E44+E54+E49</f>
        <v>8407.4160000000011</v>
      </c>
      <c r="F26" s="208">
        <f t="shared" si="6"/>
        <v>2614.8339999999998</v>
      </c>
      <c r="G26" s="208">
        <f t="shared" si="6"/>
        <v>1758.9580000000001</v>
      </c>
      <c r="H26" s="208">
        <f t="shared" si="6"/>
        <v>2169.3420000000001</v>
      </c>
      <c r="I26" s="208">
        <f t="shared" si="6"/>
        <v>1794.0659999999998</v>
      </c>
      <c r="J26" s="208">
        <f t="shared" si="6"/>
        <v>4561.43</v>
      </c>
      <c r="K26" s="208">
        <f t="shared" si="6"/>
        <v>5321.6679999999997</v>
      </c>
      <c r="L26" s="208">
        <f t="shared" si="6"/>
        <v>6635.34</v>
      </c>
      <c r="M26" s="208">
        <f t="shared" si="6"/>
        <v>7000.5060000000003</v>
      </c>
      <c r="N26" s="208">
        <f t="shared" si="6"/>
        <v>6064.5149999999994</v>
      </c>
      <c r="O26" s="208">
        <f t="shared" si="6"/>
        <v>7027.7030000000004</v>
      </c>
      <c r="P26" s="208">
        <f t="shared" si="6"/>
        <v>8065.375</v>
      </c>
      <c r="Q26" s="208">
        <f t="shared" si="6"/>
        <v>8499.3179999999993</v>
      </c>
      <c r="R26" s="208">
        <f>R29+R34+R39+R44+R54+R49</f>
        <v>9059.2060000000001</v>
      </c>
      <c r="S26" s="208">
        <f>S29+S34+S39+S44+S54+S49</f>
        <v>8784.9809999999998</v>
      </c>
      <c r="T26" s="208">
        <f>T29+T34+T39+T44+T54+T49</f>
        <v>9398.1080000000002</v>
      </c>
      <c r="U26" s="208">
        <f t="shared" si="6"/>
        <v>9749.6879999999983</v>
      </c>
      <c r="V26" s="208">
        <f t="shared" si="6"/>
        <v>9690.7219999999998</v>
      </c>
      <c r="W26" s="208">
        <f t="shared" si="6"/>
        <v>9768.3389999999999</v>
      </c>
      <c r="X26" s="208">
        <f t="shared" si="6"/>
        <v>9975.768</v>
      </c>
      <c r="Y26" s="208">
        <f t="shared" si="6"/>
        <v>7740.8469999999998</v>
      </c>
      <c r="Z26" s="208">
        <f t="shared" si="6"/>
        <v>6925.5720000000001</v>
      </c>
      <c r="AA26" s="208">
        <f t="shared" si="6"/>
        <v>7411.9449999999997</v>
      </c>
      <c r="AB26" s="208">
        <f t="shared" si="6"/>
        <v>6637.3760000000002</v>
      </c>
      <c r="AC26" s="208">
        <f t="shared" si="6"/>
        <v>6719.2659999999996</v>
      </c>
      <c r="AD26" s="208">
        <f t="shared" si="6"/>
        <v>6978.1559999999999</v>
      </c>
      <c r="AE26" s="208">
        <f t="shared" si="6"/>
        <v>5161.5350000000017</v>
      </c>
      <c r="AF26" s="208">
        <f t="shared" si="6"/>
        <v>3842.3509999999997</v>
      </c>
      <c r="AG26" s="208">
        <f t="shared" si="6"/>
        <v>1413.0549999999998</v>
      </c>
      <c r="AH26" s="208">
        <f>AH29+AH34+AH39+AH44+AH54+AH49</f>
        <v>177</v>
      </c>
      <c r="AI26" s="208">
        <f>AI29+AI34+AI39+AI44+AI54+AI49</f>
        <v>177</v>
      </c>
      <c r="AJ26" s="208">
        <f>AJ29+AJ34+AJ39+AJ44+AJ54+AJ49</f>
        <v>212.19999999999982</v>
      </c>
      <c r="AK26" s="208">
        <f t="shared" si="6"/>
        <v>0</v>
      </c>
      <c r="AL26" s="208">
        <f t="shared" si="6"/>
        <v>0</v>
      </c>
      <c r="AM26" s="208">
        <f t="shared" si="6"/>
        <v>0</v>
      </c>
    </row>
    <row r="27" spans="2:39" ht="15.75" x14ac:dyDescent="0.25">
      <c r="B27" s="209">
        <f>E8</f>
        <v>35.107999999999997</v>
      </c>
      <c r="C27" s="31" t="str">
        <f>C8</f>
        <v xml:space="preserve">Квартиры Тип 1 </v>
      </c>
      <c r="D27" s="214">
        <f>SUM(E27:AU27)</f>
        <v>22164066945.27095</v>
      </c>
      <c r="E27" s="139">
        <f>E31*E29</f>
        <v>995981344.66799986</v>
      </c>
      <c r="F27" s="139">
        <f t="shared" ref="F27:S27" si="7">F31*F29</f>
        <v>320810833.12463999</v>
      </c>
      <c r="G27" s="139">
        <f t="shared" si="7"/>
        <v>199972085.98102561</v>
      </c>
      <c r="H27" s="139">
        <f t="shared" si="7"/>
        <v>259600126.16445866</v>
      </c>
      <c r="I27" s="139">
        <f t="shared" si="7"/>
        <v>226964681.7323553</v>
      </c>
      <c r="J27" s="139">
        <f t="shared" si="7"/>
        <v>578759938.4175061</v>
      </c>
      <c r="K27" s="139">
        <f t="shared" si="7"/>
        <v>708402164.62302744</v>
      </c>
      <c r="L27" s="139">
        <f t="shared" si="7"/>
        <v>802855786.5727644</v>
      </c>
      <c r="M27" s="139">
        <f t="shared" si="7"/>
        <v>859858547.41943073</v>
      </c>
      <c r="N27" s="139">
        <f t="shared" si="7"/>
        <v>730879765.30651629</v>
      </c>
      <c r="O27" s="139">
        <f t="shared" si="7"/>
        <v>873296908.1462431</v>
      </c>
      <c r="P27" s="139">
        <f t="shared" si="7"/>
        <v>977666538.63201356</v>
      </c>
      <c r="Q27" s="139">
        <f t="shared" si="7"/>
        <v>1019380310.9469795</v>
      </c>
      <c r="R27" s="139">
        <f t="shared" si="7"/>
        <v>1062371567.5390911</v>
      </c>
      <c r="S27" s="139">
        <f t="shared" si="7"/>
        <v>1083618998.889873</v>
      </c>
      <c r="T27" s="139">
        <f t="shared" ref="T27:AM27" si="8">T31*T29</f>
        <v>1081774541.0194221</v>
      </c>
      <c r="U27" s="139">
        <f t="shared" si="8"/>
        <v>1103410031.8398106</v>
      </c>
      <c r="V27" s="139">
        <f t="shared" si="8"/>
        <v>1076544396.2819719</v>
      </c>
      <c r="W27" s="139">
        <f t="shared" si="8"/>
        <v>1073119027.7483473</v>
      </c>
      <c r="X27" s="139">
        <f t="shared" si="8"/>
        <v>1043670645.1264158</v>
      </c>
      <c r="Y27" s="139">
        <f t="shared" si="8"/>
        <v>882792633.48741698</v>
      </c>
      <c r="Z27" s="139">
        <f t="shared" si="8"/>
        <v>900448486.15716529</v>
      </c>
      <c r="AA27" s="139">
        <f t="shared" si="8"/>
        <v>810403637.54144883</v>
      </c>
      <c r="AB27" s="139">
        <f t="shared" si="8"/>
        <v>743950539.26305008</v>
      </c>
      <c r="AC27" s="139">
        <f t="shared" si="8"/>
        <v>758829550.048311</v>
      </c>
      <c r="AD27" s="139">
        <f t="shared" si="8"/>
        <v>774006141.04927731</v>
      </c>
      <c r="AE27" s="139">
        <f t="shared" si="8"/>
        <v>555564407.90870345</v>
      </c>
      <c r="AF27" s="139">
        <f t="shared" si="8"/>
        <v>507025622.79667985</v>
      </c>
      <c r="AG27" s="139">
        <f t="shared" si="8"/>
        <v>152107686.83900398</v>
      </c>
      <c r="AH27" s="139">
        <f t="shared" si="8"/>
        <v>0</v>
      </c>
      <c r="AI27" s="139">
        <f t="shared" si="8"/>
        <v>0</v>
      </c>
      <c r="AJ27" s="139">
        <f t="shared" si="8"/>
        <v>0</v>
      </c>
      <c r="AK27" s="139">
        <f t="shared" si="8"/>
        <v>0</v>
      </c>
      <c r="AL27" s="139">
        <f t="shared" si="8"/>
        <v>0</v>
      </c>
      <c r="AM27" s="139">
        <f t="shared" si="8"/>
        <v>0</v>
      </c>
    </row>
    <row r="28" spans="2:39" ht="15.75" x14ac:dyDescent="0.25">
      <c r="B28" s="210">
        <f>G8</f>
        <v>961</v>
      </c>
      <c r="C28" s="4" t="s">
        <v>205</v>
      </c>
      <c r="D28" s="214">
        <f>SUM(E28:AU28)</f>
        <v>961</v>
      </c>
      <c r="E28" s="202">
        <v>57</v>
      </c>
      <c r="F28" s="202">
        <v>18</v>
      </c>
      <c r="G28" s="202">
        <v>11</v>
      </c>
      <c r="H28" s="202">
        <v>14</v>
      </c>
      <c r="I28" s="202">
        <v>12</v>
      </c>
      <c r="J28" s="202">
        <v>30</v>
      </c>
      <c r="K28" s="202">
        <v>36</v>
      </c>
      <c r="L28" s="202">
        <v>40</v>
      </c>
      <c r="M28" s="202">
        <v>42</v>
      </c>
      <c r="N28" s="202">
        <v>35</v>
      </c>
      <c r="O28" s="202">
        <v>41</v>
      </c>
      <c r="P28" s="202">
        <v>45</v>
      </c>
      <c r="Q28" s="202">
        <v>46</v>
      </c>
      <c r="R28" s="202">
        <v>47</v>
      </c>
      <c r="S28" s="202">
        <v>47</v>
      </c>
      <c r="T28" s="202">
        <v>46</v>
      </c>
      <c r="U28" s="202">
        <v>46</v>
      </c>
      <c r="V28" s="202">
        <v>44</v>
      </c>
      <c r="W28" s="202">
        <v>43</v>
      </c>
      <c r="X28" s="202">
        <v>41</v>
      </c>
      <c r="Y28" s="202">
        <v>34</v>
      </c>
      <c r="Z28" s="202">
        <v>34</v>
      </c>
      <c r="AA28" s="202">
        <v>30</v>
      </c>
      <c r="AB28" s="202">
        <v>27</v>
      </c>
      <c r="AC28" s="202">
        <v>27</v>
      </c>
      <c r="AD28" s="202">
        <v>27</v>
      </c>
      <c r="AE28" s="202">
        <v>19</v>
      </c>
      <c r="AF28" s="202">
        <v>17</v>
      </c>
      <c r="AG28" s="202">
        <v>5</v>
      </c>
      <c r="AH28" s="202"/>
      <c r="AI28" s="202"/>
      <c r="AJ28" s="202"/>
      <c r="AK28" s="202"/>
      <c r="AL28" s="202"/>
      <c r="AM28" s="202"/>
    </row>
    <row r="29" spans="2:39" ht="15" x14ac:dyDescent="0.2">
      <c r="B29" s="211">
        <f>F8</f>
        <v>33738.788</v>
      </c>
      <c r="C29" s="4" t="s">
        <v>144</v>
      </c>
      <c r="D29" s="365">
        <f>SUM(E29:AM29)</f>
        <v>33738.788000000008</v>
      </c>
      <c r="E29" s="136">
        <f>E28*$B$27</f>
        <v>2001.1559999999997</v>
      </c>
      <c r="F29" s="136">
        <f t="shared" ref="F29:S29" si="9">F28*$B$27</f>
        <v>631.94399999999996</v>
      </c>
      <c r="G29" s="136">
        <f t="shared" si="9"/>
        <v>386.18799999999999</v>
      </c>
      <c r="H29" s="136">
        <f t="shared" si="9"/>
        <v>491.51199999999994</v>
      </c>
      <c r="I29" s="136">
        <f t="shared" si="9"/>
        <v>421.29599999999994</v>
      </c>
      <c r="J29" s="136">
        <f t="shared" si="9"/>
        <v>1053.24</v>
      </c>
      <c r="K29" s="136">
        <f t="shared" si="9"/>
        <v>1263.8879999999999</v>
      </c>
      <c r="L29" s="136">
        <f t="shared" si="9"/>
        <v>1404.32</v>
      </c>
      <c r="M29" s="136">
        <f t="shared" si="9"/>
        <v>1474.5359999999998</v>
      </c>
      <c r="N29" s="136">
        <f t="shared" si="9"/>
        <v>1228.78</v>
      </c>
      <c r="O29" s="136">
        <f t="shared" si="9"/>
        <v>1439.4279999999999</v>
      </c>
      <c r="P29" s="136">
        <f t="shared" si="9"/>
        <v>1579.86</v>
      </c>
      <c r="Q29" s="136">
        <f t="shared" si="9"/>
        <v>1614.9679999999998</v>
      </c>
      <c r="R29" s="136">
        <f t="shared" si="9"/>
        <v>1650.0759999999998</v>
      </c>
      <c r="S29" s="136">
        <f t="shared" si="9"/>
        <v>1650.0759999999998</v>
      </c>
      <c r="T29" s="136">
        <f t="shared" ref="T29:AM29" si="10">T28*$B$27</f>
        <v>1614.9679999999998</v>
      </c>
      <c r="U29" s="136">
        <f t="shared" si="10"/>
        <v>1614.9679999999998</v>
      </c>
      <c r="V29" s="136">
        <f t="shared" si="10"/>
        <v>1544.752</v>
      </c>
      <c r="W29" s="136">
        <f t="shared" si="10"/>
        <v>1509.6439999999998</v>
      </c>
      <c r="X29" s="136">
        <f t="shared" si="10"/>
        <v>1439.4279999999999</v>
      </c>
      <c r="Y29" s="136">
        <f t="shared" si="10"/>
        <v>1193.6719999999998</v>
      </c>
      <c r="Z29" s="136">
        <f t="shared" si="10"/>
        <v>1193.6719999999998</v>
      </c>
      <c r="AA29" s="136">
        <f t="shared" si="10"/>
        <v>1053.24</v>
      </c>
      <c r="AB29" s="136">
        <f t="shared" si="10"/>
        <v>947.91599999999994</v>
      </c>
      <c r="AC29" s="136">
        <f t="shared" si="10"/>
        <v>947.91599999999994</v>
      </c>
      <c r="AD29" s="136">
        <f t="shared" si="10"/>
        <v>947.91599999999994</v>
      </c>
      <c r="AE29" s="136">
        <f t="shared" si="10"/>
        <v>667.05199999999991</v>
      </c>
      <c r="AF29" s="136">
        <f t="shared" si="10"/>
        <v>596.8359999999999</v>
      </c>
      <c r="AG29" s="136">
        <f t="shared" si="10"/>
        <v>175.54</v>
      </c>
      <c r="AH29" s="136">
        <f t="shared" si="10"/>
        <v>0</v>
      </c>
      <c r="AI29" s="136">
        <f t="shared" si="10"/>
        <v>0</v>
      </c>
      <c r="AJ29" s="136">
        <f t="shared" si="10"/>
        <v>0</v>
      </c>
      <c r="AK29" s="136">
        <f t="shared" si="10"/>
        <v>0</v>
      </c>
      <c r="AL29" s="136">
        <f t="shared" si="10"/>
        <v>0</v>
      </c>
      <c r="AM29" s="136">
        <f t="shared" si="10"/>
        <v>0</v>
      </c>
    </row>
    <row r="30" spans="2:39" ht="15" x14ac:dyDescent="0.2">
      <c r="B30" s="211"/>
      <c r="C30" s="4" t="s">
        <v>61</v>
      </c>
      <c r="D30" s="216">
        <f>SUM(E30:T30)</f>
        <v>0.32</v>
      </c>
      <c r="E30" s="268">
        <v>0.02</v>
      </c>
      <c r="F30" s="138">
        <f>E30</f>
        <v>0.02</v>
      </c>
      <c r="G30" s="138">
        <f t="shared" ref="G30:T30" si="11">F30</f>
        <v>0.02</v>
      </c>
      <c r="H30" s="138">
        <f t="shared" si="11"/>
        <v>0.02</v>
      </c>
      <c r="I30" s="138">
        <f t="shared" si="11"/>
        <v>0.02</v>
      </c>
      <c r="J30" s="138">
        <f t="shared" si="11"/>
        <v>0.02</v>
      </c>
      <c r="K30" s="138">
        <f t="shared" si="11"/>
        <v>0.02</v>
      </c>
      <c r="L30" s="138">
        <f t="shared" si="11"/>
        <v>0.02</v>
      </c>
      <c r="M30" s="138">
        <f t="shared" si="11"/>
        <v>0.02</v>
      </c>
      <c r="N30" s="138">
        <f t="shared" si="11"/>
        <v>0.02</v>
      </c>
      <c r="O30" s="138">
        <f t="shared" si="11"/>
        <v>0.02</v>
      </c>
      <c r="P30" s="138">
        <f t="shared" si="11"/>
        <v>0.02</v>
      </c>
      <c r="Q30" s="138">
        <f t="shared" si="11"/>
        <v>0.02</v>
      </c>
      <c r="R30" s="138">
        <f t="shared" si="11"/>
        <v>0.02</v>
      </c>
      <c r="S30" s="138">
        <f t="shared" si="11"/>
        <v>0.02</v>
      </c>
      <c r="T30" s="138">
        <f t="shared" si="11"/>
        <v>0.02</v>
      </c>
      <c r="U30" s="138">
        <f t="shared" ref="U30" si="12">T30</f>
        <v>0.02</v>
      </c>
      <c r="V30" s="138">
        <f t="shared" ref="V30" si="13">U30</f>
        <v>0.02</v>
      </c>
      <c r="W30" s="138">
        <f t="shared" ref="W30" si="14">V30</f>
        <v>0.02</v>
      </c>
      <c r="X30" s="138">
        <f t="shared" ref="X30" si="15">W30</f>
        <v>0.02</v>
      </c>
      <c r="Y30" s="138">
        <f t="shared" ref="Y30" si="16">X30</f>
        <v>0.02</v>
      </c>
      <c r="Z30" s="138">
        <f t="shared" ref="Z30" si="17">Y30</f>
        <v>0.02</v>
      </c>
      <c r="AA30" s="138">
        <f t="shared" ref="AA30" si="18">Z30</f>
        <v>0.02</v>
      </c>
      <c r="AB30" s="138">
        <f t="shared" ref="AB30" si="19">AA30</f>
        <v>0.02</v>
      </c>
      <c r="AC30" s="138">
        <f t="shared" ref="AC30" si="20">AB30</f>
        <v>0.02</v>
      </c>
      <c r="AD30" s="138">
        <f t="shared" ref="AD30" si="21">AC30</f>
        <v>0.02</v>
      </c>
      <c r="AE30" s="138">
        <f t="shared" ref="AE30" si="22">AD30</f>
        <v>0.02</v>
      </c>
      <c r="AF30" s="138">
        <f t="shared" ref="AF30" si="23">AE30</f>
        <v>0.02</v>
      </c>
      <c r="AG30" s="138">
        <f t="shared" ref="AG30" si="24">AF30</f>
        <v>0.02</v>
      </c>
      <c r="AH30" s="138">
        <f t="shared" ref="AH30" si="25">AG30</f>
        <v>0.02</v>
      </c>
      <c r="AI30" s="138">
        <f t="shared" ref="AI30" si="26">AH30</f>
        <v>0.02</v>
      </c>
      <c r="AJ30" s="138">
        <f t="shared" ref="AJ30" si="27">AI30</f>
        <v>0.02</v>
      </c>
      <c r="AK30" s="138">
        <f t="shared" ref="AK30" si="28">AJ30</f>
        <v>0.02</v>
      </c>
      <c r="AL30" s="138">
        <f t="shared" ref="AL30" si="29">AK30</f>
        <v>0.02</v>
      </c>
      <c r="AM30" s="138">
        <f t="shared" ref="AM30" si="30">AL30</f>
        <v>0.02</v>
      </c>
    </row>
    <row r="31" spans="2:39" ht="15" x14ac:dyDescent="0.2">
      <c r="B31" s="336">
        <f>H8</f>
        <v>497703</v>
      </c>
      <c r="C31" s="4" t="s">
        <v>92</v>
      </c>
      <c r="D31" s="217">
        <f>AVERAGE(E31:S31)</f>
        <v>573799.03196311428</v>
      </c>
      <c r="E31" s="136">
        <f>B31</f>
        <v>497703</v>
      </c>
      <c r="F31" s="136">
        <f>E31+E31*E30</f>
        <v>507657.06</v>
      </c>
      <c r="G31" s="136">
        <f t="shared" ref="G31:S31" si="31">F31+F31*F30</f>
        <v>517810.20120000001</v>
      </c>
      <c r="H31" s="136">
        <f t="shared" si="31"/>
        <v>528166.40522399999</v>
      </c>
      <c r="I31" s="136">
        <f t="shared" si="31"/>
        <v>538729.73332848004</v>
      </c>
      <c r="J31" s="136">
        <f t="shared" si="31"/>
        <v>549504.32799504965</v>
      </c>
      <c r="K31" s="136">
        <f t="shared" si="31"/>
        <v>560494.41455495066</v>
      </c>
      <c r="L31" s="136">
        <f t="shared" si="31"/>
        <v>571704.30284604966</v>
      </c>
      <c r="M31" s="136">
        <f t="shared" si="31"/>
        <v>583138.38890297071</v>
      </c>
      <c r="N31" s="136">
        <f t="shared" si="31"/>
        <v>594801.15668103017</v>
      </c>
      <c r="O31" s="136">
        <f t="shared" si="31"/>
        <v>606697.17981465079</v>
      </c>
      <c r="P31" s="136">
        <f t="shared" si="31"/>
        <v>618831.12341094378</v>
      </c>
      <c r="Q31" s="136">
        <f t="shared" si="31"/>
        <v>631207.74587916269</v>
      </c>
      <c r="R31" s="136">
        <f t="shared" si="31"/>
        <v>643831.9007967459</v>
      </c>
      <c r="S31" s="136">
        <f t="shared" si="31"/>
        <v>656708.53881268087</v>
      </c>
      <c r="T31" s="136">
        <f t="shared" ref="T31" si="32">S31+S31*S30</f>
        <v>669842.70958893443</v>
      </c>
      <c r="U31" s="136">
        <f t="shared" ref="U31" si="33">T31+T31*T30</f>
        <v>683239.56378071313</v>
      </c>
      <c r="V31" s="136">
        <f t="shared" ref="V31" si="34">U31+U31*U30</f>
        <v>696904.35505632742</v>
      </c>
      <c r="W31" s="136">
        <f t="shared" ref="W31" si="35">V31+V31*V30</f>
        <v>710842.44215745397</v>
      </c>
      <c r="X31" s="136">
        <f t="shared" ref="X31" si="36">W31+W31*W30</f>
        <v>725059.291000603</v>
      </c>
      <c r="Y31" s="136">
        <f t="shared" ref="Y31" si="37">X31+X31*X30</f>
        <v>739560.476820615</v>
      </c>
      <c r="Z31" s="136">
        <f t="shared" ref="Z31" si="38">Y31+Y31*Y30</f>
        <v>754351.68635702727</v>
      </c>
      <c r="AA31" s="136">
        <f t="shared" ref="AA31" si="39">Z31+Z31*Z30</f>
        <v>769438.72008416778</v>
      </c>
      <c r="AB31" s="136">
        <f t="shared" ref="AB31" si="40">AA31+AA31*AA30</f>
        <v>784827.49448585114</v>
      </c>
      <c r="AC31" s="136">
        <f t="shared" ref="AC31" si="41">AB31+AB31*AB30</f>
        <v>800524.04437556816</v>
      </c>
      <c r="AD31" s="136">
        <f t="shared" ref="AD31" si="42">AC31+AC31*AC30</f>
        <v>816534.52526307956</v>
      </c>
      <c r="AE31" s="136">
        <f t="shared" ref="AE31" si="43">AD31+AD31*AD30</f>
        <v>832865.21576834121</v>
      </c>
      <c r="AF31" s="136">
        <f t="shared" ref="AF31" si="44">AE31+AE31*AE30</f>
        <v>849522.52008370799</v>
      </c>
      <c r="AG31" s="136">
        <f t="shared" ref="AG31" si="45">AF31+AF31*AF30</f>
        <v>866512.97048538213</v>
      </c>
      <c r="AH31" s="136">
        <f t="shared" ref="AH31" si="46">AG31+AG31*AG30</f>
        <v>883843.22989508975</v>
      </c>
      <c r="AI31" s="136">
        <f t="shared" ref="AI31" si="47">AH31+AH31*AH30</f>
        <v>901520.09449299157</v>
      </c>
      <c r="AJ31" s="136">
        <f t="shared" ref="AJ31" si="48">AI31+AI31*AI30</f>
        <v>919550.49638285139</v>
      </c>
      <c r="AK31" s="136">
        <f t="shared" ref="AK31" si="49">AJ31+AJ31*AJ30</f>
        <v>937941.50631050847</v>
      </c>
      <c r="AL31" s="136">
        <f t="shared" ref="AL31" si="50">AK31+AK31*AK30</f>
        <v>956700.33643671859</v>
      </c>
      <c r="AM31" s="136">
        <f t="shared" ref="AM31" si="51">AL31+AL31*AL30</f>
        <v>975834.34316545294</v>
      </c>
    </row>
    <row r="32" spans="2:39" ht="15.75" x14ac:dyDescent="0.25">
      <c r="B32" s="209">
        <f>E9</f>
        <v>60.53</v>
      </c>
      <c r="C32" s="31" t="str">
        <f>C9</f>
        <v xml:space="preserve">Квартиры Тип 2 </v>
      </c>
      <c r="D32" s="214">
        <f>SUM(E32:AU32)</f>
        <v>28633525764.999435</v>
      </c>
      <c r="E32" s="139">
        <f>E36*E34</f>
        <v>1265290428.7800002</v>
      </c>
      <c r="F32" s="139">
        <f t="shared" ref="F32:S32" si="52">F36*F34</f>
        <v>399470263.94339997</v>
      </c>
      <c r="G32" s="139">
        <f t="shared" si="52"/>
        <v>282087463.307724</v>
      </c>
      <c r="H32" s="139">
        <f t="shared" si="52"/>
        <v>351669037.59029591</v>
      </c>
      <c r="I32" s="139">
        <f t="shared" si="52"/>
        <v>293483796.82535607</v>
      </c>
      <c r="J32" s="139">
        <f t="shared" si="52"/>
        <v>765014430.39142823</v>
      </c>
      <c r="K32" s="139">
        <f t="shared" si="52"/>
        <v>882094899.73829019</v>
      </c>
      <c r="L32" s="139">
        <f t="shared" si="52"/>
        <v>1038157843.5381416</v>
      </c>
      <c r="M32" s="139">
        <f t="shared" si="52"/>
        <v>1129515733.7694981</v>
      </c>
      <c r="N32" s="139">
        <f t="shared" si="52"/>
        <v>936086164.36147165</v>
      </c>
      <c r="O32" s="139">
        <f t="shared" si="52"/>
        <v>1138424789.1196053</v>
      </c>
      <c r="P32" s="139">
        <f t="shared" si="52"/>
        <v>1311024676.502255</v>
      </c>
      <c r="Q32" s="139">
        <f t="shared" si="52"/>
        <v>1337245170.0323002</v>
      </c>
      <c r="R32" s="139">
        <f t="shared" si="52"/>
        <v>1363990073.4329462</v>
      </c>
      <c r="S32" s="139">
        <f t="shared" si="52"/>
        <v>1311768739.1929419</v>
      </c>
      <c r="T32" s="139">
        <f t="shared" ref="T32:AM32" si="53">T36*T34</f>
        <v>1378549693.1882188</v>
      </c>
      <c r="U32" s="139">
        <f t="shared" si="53"/>
        <v>1406120687.0519831</v>
      </c>
      <c r="V32" s="139">
        <f t="shared" si="53"/>
        <v>1392059480.1814635</v>
      </c>
      <c r="W32" s="139">
        <f t="shared" si="53"/>
        <v>1419900669.7850928</v>
      </c>
      <c r="X32" s="139">
        <f t="shared" si="53"/>
        <v>1360523005.4122615</v>
      </c>
      <c r="Y32" s="139">
        <f t="shared" si="53"/>
        <v>1119139891.5487957</v>
      </c>
      <c r="Z32" s="139">
        <f t="shared" si="53"/>
        <v>1141522689.3797715</v>
      </c>
      <c r="AA32" s="139">
        <f t="shared" si="53"/>
        <v>1024630765.987283</v>
      </c>
      <c r="AB32" s="139">
        <f t="shared" si="53"/>
        <v>997617773.06580007</v>
      </c>
      <c r="AC32" s="139">
        <f t="shared" si="53"/>
        <v>1017570128.5271161</v>
      </c>
      <c r="AD32" s="139">
        <f t="shared" si="53"/>
        <v>1037921531.0976584</v>
      </c>
      <c r="AE32" s="139">
        <f t="shared" si="53"/>
        <v>705786641.14640772</v>
      </c>
      <c r="AF32" s="139">
        <f t="shared" si="53"/>
        <v>617059177.68800211</v>
      </c>
      <c r="AG32" s="139">
        <f t="shared" si="53"/>
        <v>209800120.41392073</v>
      </c>
      <c r="AH32" s="139">
        <f t="shared" si="53"/>
        <v>0</v>
      </c>
      <c r="AI32" s="139">
        <f t="shared" si="53"/>
        <v>0</v>
      </c>
      <c r="AJ32" s="139">
        <f t="shared" si="53"/>
        <v>0</v>
      </c>
      <c r="AK32" s="139">
        <f t="shared" si="53"/>
        <v>0</v>
      </c>
      <c r="AL32" s="139">
        <f t="shared" si="53"/>
        <v>0</v>
      </c>
      <c r="AM32" s="139">
        <f t="shared" si="53"/>
        <v>0</v>
      </c>
    </row>
    <row r="33" spans="2:55" ht="15.75" x14ac:dyDescent="0.25">
      <c r="B33" s="367">
        <f>G9</f>
        <v>720</v>
      </c>
      <c r="C33" s="4" t="s">
        <v>205</v>
      </c>
      <c r="D33" s="368">
        <f>SUM(E33:AU33)</f>
        <v>720</v>
      </c>
      <c r="E33" s="202">
        <v>42</v>
      </c>
      <c r="F33" s="202">
        <v>13</v>
      </c>
      <c r="G33" s="202">
        <v>9</v>
      </c>
      <c r="H33" s="202">
        <v>11</v>
      </c>
      <c r="I33" s="202">
        <v>9</v>
      </c>
      <c r="J33" s="202">
        <v>23</v>
      </c>
      <c r="K33" s="202">
        <v>26</v>
      </c>
      <c r="L33" s="202">
        <v>30</v>
      </c>
      <c r="M33" s="202">
        <v>32</v>
      </c>
      <c r="N33" s="202">
        <v>26</v>
      </c>
      <c r="O33" s="202">
        <v>31</v>
      </c>
      <c r="P33" s="202">
        <v>35</v>
      </c>
      <c r="Q33" s="202">
        <v>35</v>
      </c>
      <c r="R33" s="202">
        <v>35</v>
      </c>
      <c r="S33" s="202">
        <v>33</v>
      </c>
      <c r="T33" s="202">
        <v>34</v>
      </c>
      <c r="U33" s="202">
        <v>34</v>
      </c>
      <c r="V33" s="202">
        <v>33</v>
      </c>
      <c r="W33" s="202">
        <v>33</v>
      </c>
      <c r="X33" s="202">
        <v>31</v>
      </c>
      <c r="Y33" s="202">
        <v>25</v>
      </c>
      <c r="Z33" s="202">
        <v>25</v>
      </c>
      <c r="AA33" s="202">
        <v>22</v>
      </c>
      <c r="AB33" s="202">
        <v>21</v>
      </c>
      <c r="AC33" s="202">
        <v>21</v>
      </c>
      <c r="AD33" s="202">
        <v>21</v>
      </c>
      <c r="AE33" s="202">
        <v>14</v>
      </c>
      <c r="AF33" s="202">
        <v>12</v>
      </c>
      <c r="AG33" s="202">
        <v>4</v>
      </c>
      <c r="AH33" s="202"/>
      <c r="AI33" s="202"/>
      <c r="AJ33" s="202"/>
      <c r="AK33" s="202"/>
      <c r="AL33" s="202"/>
      <c r="AM33" s="202"/>
    </row>
    <row r="34" spans="2:55" ht="15" x14ac:dyDescent="0.2">
      <c r="B34" s="211">
        <f>F9</f>
        <v>43581.599999999999</v>
      </c>
      <c r="C34" s="4" t="s">
        <v>144</v>
      </c>
      <c r="D34" s="365">
        <f>SUM(E34:Z34)</f>
        <v>36620.650000000009</v>
      </c>
      <c r="E34" s="136">
        <f>E33*$B$32</f>
        <v>2542.2600000000002</v>
      </c>
      <c r="F34" s="136">
        <f t="shared" ref="F34:S34" si="54">F33*$B$32</f>
        <v>786.89</v>
      </c>
      <c r="G34" s="136">
        <f t="shared" si="54"/>
        <v>544.77</v>
      </c>
      <c r="H34" s="136">
        <f t="shared" si="54"/>
        <v>665.83</v>
      </c>
      <c r="I34" s="136">
        <f t="shared" si="54"/>
        <v>544.77</v>
      </c>
      <c r="J34" s="136">
        <f t="shared" si="54"/>
        <v>1392.19</v>
      </c>
      <c r="K34" s="136">
        <f t="shared" si="54"/>
        <v>1573.78</v>
      </c>
      <c r="L34" s="136">
        <f t="shared" si="54"/>
        <v>1815.9</v>
      </c>
      <c r="M34" s="136">
        <f t="shared" si="54"/>
        <v>1936.96</v>
      </c>
      <c r="N34" s="136">
        <f t="shared" si="54"/>
        <v>1573.78</v>
      </c>
      <c r="O34" s="136">
        <f t="shared" si="54"/>
        <v>1876.43</v>
      </c>
      <c r="P34" s="136">
        <f t="shared" si="54"/>
        <v>2118.5500000000002</v>
      </c>
      <c r="Q34" s="136">
        <f t="shared" si="54"/>
        <v>2118.5500000000002</v>
      </c>
      <c r="R34" s="136">
        <f t="shared" si="54"/>
        <v>2118.5500000000002</v>
      </c>
      <c r="S34" s="136">
        <f t="shared" si="54"/>
        <v>1997.49</v>
      </c>
      <c r="T34" s="136">
        <f t="shared" ref="T34:AM34" si="55">T33*$B$32</f>
        <v>2058.02</v>
      </c>
      <c r="U34" s="136">
        <f t="shared" si="55"/>
        <v>2058.02</v>
      </c>
      <c r="V34" s="136">
        <f t="shared" si="55"/>
        <v>1997.49</v>
      </c>
      <c r="W34" s="136">
        <f t="shared" si="55"/>
        <v>1997.49</v>
      </c>
      <c r="X34" s="136">
        <f t="shared" si="55"/>
        <v>1876.43</v>
      </c>
      <c r="Y34" s="136">
        <f t="shared" si="55"/>
        <v>1513.25</v>
      </c>
      <c r="Z34" s="136">
        <f t="shared" si="55"/>
        <v>1513.25</v>
      </c>
      <c r="AA34" s="136">
        <f t="shared" si="55"/>
        <v>1331.66</v>
      </c>
      <c r="AB34" s="136">
        <f t="shared" si="55"/>
        <v>1271.1300000000001</v>
      </c>
      <c r="AC34" s="136">
        <f t="shared" si="55"/>
        <v>1271.1300000000001</v>
      </c>
      <c r="AD34" s="136">
        <f t="shared" si="55"/>
        <v>1271.1300000000001</v>
      </c>
      <c r="AE34" s="136">
        <f t="shared" si="55"/>
        <v>847.42000000000007</v>
      </c>
      <c r="AF34" s="136">
        <f t="shared" si="55"/>
        <v>726.36</v>
      </c>
      <c r="AG34" s="136">
        <f t="shared" si="55"/>
        <v>242.12</v>
      </c>
      <c r="AH34" s="136">
        <f t="shared" si="55"/>
        <v>0</v>
      </c>
      <c r="AI34" s="136">
        <f t="shared" si="55"/>
        <v>0</v>
      </c>
      <c r="AJ34" s="136">
        <f t="shared" si="55"/>
        <v>0</v>
      </c>
      <c r="AK34" s="136">
        <f t="shared" si="55"/>
        <v>0</v>
      </c>
      <c r="AL34" s="136">
        <f t="shared" si="55"/>
        <v>0</v>
      </c>
      <c r="AM34" s="136">
        <f t="shared" si="55"/>
        <v>0</v>
      </c>
    </row>
    <row r="35" spans="2:55" ht="15" x14ac:dyDescent="0.2">
      <c r="B35" s="211"/>
      <c r="C35" s="4" t="s">
        <v>61</v>
      </c>
      <c r="D35" s="216">
        <f>SUM(E35:T35)</f>
        <v>0.32</v>
      </c>
      <c r="E35" s="268">
        <v>0.02</v>
      </c>
      <c r="F35" s="138">
        <f>E35</f>
        <v>0.02</v>
      </c>
      <c r="G35" s="138">
        <f t="shared" ref="G35:T35" si="56">F35</f>
        <v>0.02</v>
      </c>
      <c r="H35" s="138">
        <f t="shared" si="56"/>
        <v>0.02</v>
      </c>
      <c r="I35" s="138">
        <f t="shared" si="56"/>
        <v>0.02</v>
      </c>
      <c r="J35" s="138">
        <f t="shared" si="56"/>
        <v>0.02</v>
      </c>
      <c r="K35" s="138">
        <f t="shared" si="56"/>
        <v>0.02</v>
      </c>
      <c r="L35" s="138">
        <f t="shared" si="56"/>
        <v>0.02</v>
      </c>
      <c r="M35" s="138">
        <f t="shared" si="56"/>
        <v>0.02</v>
      </c>
      <c r="N35" s="138">
        <f t="shared" si="56"/>
        <v>0.02</v>
      </c>
      <c r="O35" s="138">
        <f t="shared" si="56"/>
        <v>0.02</v>
      </c>
      <c r="P35" s="138">
        <f t="shared" si="56"/>
        <v>0.02</v>
      </c>
      <c r="Q35" s="138">
        <f t="shared" si="56"/>
        <v>0.02</v>
      </c>
      <c r="R35" s="138">
        <f t="shared" si="56"/>
        <v>0.02</v>
      </c>
      <c r="S35" s="138">
        <f t="shared" si="56"/>
        <v>0.02</v>
      </c>
      <c r="T35" s="138">
        <f t="shared" si="56"/>
        <v>0.02</v>
      </c>
      <c r="U35" s="138">
        <f t="shared" ref="U35" si="57">T35</f>
        <v>0.02</v>
      </c>
      <c r="V35" s="138">
        <f t="shared" ref="V35" si="58">U35</f>
        <v>0.02</v>
      </c>
      <c r="W35" s="138">
        <f t="shared" ref="W35" si="59">V35</f>
        <v>0.02</v>
      </c>
      <c r="X35" s="138">
        <f t="shared" ref="X35" si="60">W35</f>
        <v>0.02</v>
      </c>
      <c r="Y35" s="138">
        <f t="shared" ref="Y35" si="61">X35</f>
        <v>0.02</v>
      </c>
      <c r="Z35" s="138">
        <f t="shared" ref="Z35" si="62">Y35</f>
        <v>0.02</v>
      </c>
      <c r="AA35" s="138">
        <f t="shared" ref="AA35" si="63">Z35</f>
        <v>0.02</v>
      </c>
      <c r="AB35" s="138">
        <f t="shared" ref="AB35" si="64">AA35</f>
        <v>0.02</v>
      </c>
      <c r="AC35" s="138">
        <f t="shared" ref="AC35" si="65">AB35</f>
        <v>0.02</v>
      </c>
      <c r="AD35" s="138">
        <f t="shared" ref="AD35" si="66">AC35</f>
        <v>0.02</v>
      </c>
      <c r="AE35" s="138">
        <f t="shared" ref="AE35" si="67">AD35</f>
        <v>0.02</v>
      </c>
      <c r="AF35" s="138">
        <f t="shared" ref="AF35" si="68">AE35</f>
        <v>0.02</v>
      </c>
      <c r="AG35" s="138">
        <f t="shared" ref="AG35" si="69">AF35</f>
        <v>0.02</v>
      </c>
      <c r="AH35" s="138">
        <f t="shared" ref="AH35" si="70">AG35</f>
        <v>0.02</v>
      </c>
      <c r="AI35" s="138">
        <f t="shared" ref="AI35" si="71">AH35</f>
        <v>0.02</v>
      </c>
      <c r="AJ35" s="138">
        <f t="shared" ref="AJ35" si="72">AI35</f>
        <v>0.02</v>
      </c>
      <c r="AK35" s="138">
        <f t="shared" ref="AK35" si="73">AJ35</f>
        <v>0.02</v>
      </c>
      <c r="AL35" s="138">
        <f t="shared" ref="AL35" si="74">AK35</f>
        <v>0.02</v>
      </c>
      <c r="AM35" s="138">
        <f t="shared" ref="AM35" si="75">AL35</f>
        <v>0.02</v>
      </c>
    </row>
    <row r="36" spans="2:55" ht="15" x14ac:dyDescent="0.2">
      <c r="B36" s="336">
        <f>H9</f>
        <v>497703</v>
      </c>
      <c r="C36" s="4" t="s">
        <v>92</v>
      </c>
      <c r="D36" s="217">
        <f>AVERAGE(E36:S36)</f>
        <v>573799.03196311428</v>
      </c>
      <c r="E36" s="136">
        <f>B36</f>
        <v>497703</v>
      </c>
      <c r="F36" s="136">
        <f>E36+E36*E35</f>
        <v>507657.06</v>
      </c>
      <c r="G36" s="136">
        <f t="shared" ref="G36:S36" si="76">F36+F36*F35</f>
        <v>517810.20120000001</v>
      </c>
      <c r="H36" s="136">
        <f t="shared" si="76"/>
        <v>528166.40522399999</v>
      </c>
      <c r="I36" s="136">
        <f t="shared" si="76"/>
        <v>538729.73332848004</v>
      </c>
      <c r="J36" s="136">
        <f t="shared" si="76"/>
        <v>549504.32799504965</v>
      </c>
      <c r="K36" s="136">
        <f t="shared" si="76"/>
        <v>560494.41455495066</v>
      </c>
      <c r="L36" s="136">
        <f t="shared" si="76"/>
        <v>571704.30284604966</v>
      </c>
      <c r="M36" s="136">
        <f t="shared" si="76"/>
        <v>583138.38890297071</v>
      </c>
      <c r="N36" s="136">
        <f t="shared" si="76"/>
        <v>594801.15668103017</v>
      </c>
      <c r="O36" s="136">
        <f t="shared" si="76"/>
        <v>606697.17981465079</v>
      </c>
      <c r="P36" s="136">
        <f t="shared" si="76"/>
        <v>618831.12341094378</v>
      </c>
      <c r="Q36" s="136">
        <f t="shared" si="76"/>
        <v>631207.74587916269</v>
      </c>
      <c r="R36" s="136">
        <f t="shared" si="76"/>
        <v>643831.9007967459</v>
      </c>
      <c r="S36" s="136">
        <f t="shared" si="76"/>
        <v>656708.53881268087</v>
      </c>
      <c r="T36" s="136">
        <f t="shared" ref="T36" si="77">S36+S36*S35</f>
        <v>669842.70958893443</v>
      </c>
      <c r="U36" s="136">
        <f t="shared" ref="U36" si="78">T36+T36*T35</f>
        <v>683239.56378071313</v>
      </c>
      <c r="V36" s="136">
        <f t="shared" ref="V36" si="79">U36+U36*U35</f>
        <v>696904.35505632742</v>
      </c>
      <c r="W36" s="136">
        <f t="shared" ref="W36" si="80">V36+V36*V35</f>
        <v>710842.44215745397</v>
      </c>
      <c r="X36" s="136">
        <f t="shared" ref="X36" si="81">W36+W36*W35</f>
        <v>725059.291000603</v>
      </c>
      <c r="Y36" s="136">
        <f t="shared" ref="Y36" si="82">X36+X36*X35</f>
        <v>739560.476820615</v>
      </c>
      <c r="Z36" s="136">
        <f t="shared" ref="Z36" si="83">Y36+Y36*Y35</f>
        <v>754351.68635702727</v>
      </c>
      <c r="AA36" s="136">
        <f t="shared" ref="AA36" si="84">Z36+Z36*Z35</f>
        <v>769438.72008416778</v>
      </c>
      <c r="AB36" s="136">
        <f t="shared" ref="AB36" si="85">AA36+AA36*AA35</f>
        <v>784827.49448585114</v>
      </c>
      <c r="AC36" s="136">
        <f t="shared" ref="AC36" si="86">AB36+AB36*AB35</f>
        <v>800524.04437556816</v>
      </c>
      <c r="AD36" s="136">
        <f t="shared" ref="AD36" si="87">AC36+AC36*AC35</f>
        <v>816534.52526307956</v>
      </c>
      <c r="AE36" s="136">
        <f t="shared" ref="AE36" si="88">AD36+AD36*AD35</f>
        <v>832865.21576834121</v>
      </c>
      <c r="AF36" s="136">
        <f t="shared" ref="AF36" si="89">AE36+AE36*AE35</f>
        <v>849522.52008370799</v>
      </c>
      <c r="AG36" s="136">
        <f t="shared" ref="AG36" si="90">AF36+AF36*AF35</f>
        <v>866512.97048538213</v>
      </c>
      <c r="AH36" s="136">
        <f t="shared" ref="AH36" si="91">AG36+AG36*AG35</f>
        <v>883843.22989508975</v>
      </c>
      <c r="AI36" s="136">
        <f t="shared" ref="AI36" si="92">AH36+AH36*AH35</f>
        <v>901520.09449299157</v>
      </c>
      <c r="AJ36" s="136">
        <f t="shared" ref="AJ36" si="93">AI36+AI36*AI35</f>
        <v>919550.49638285139</v>
      </c>
      <c r="AK36" s="136">
        <f t="shared" ref="AK36" si="94">AJ36+AJ36*AJ35</f>
        <v>937941.50631050847</v>
      </c>
      <c r="AL36" s="136">
        <f t="shared" ref="AL36" si="95">AK36+AK36*AK35</f>
        <v>956700.33643671859</v>
      </c>
      <c r="AM36" s="136">
        <f t="shared" ref="AM36" si="96">AL36+AL36*AL35</f>
        <v>975834.34316545294</v>
      </c>
    </row>
    <row r="37" spans="2:55" ht="15.75" x14ac:dyDescent="0.25">
      <c r="B37" s="209">
        <f>E10</f>
        <v>92</v>
      </c>
      <c r="C37" s="31" t="str">
        <f>C10</f>
        <v xml:space="preserve">Квартиры Тип 3 </v>
      </c>
      <c r="D37" s="214">
        <f>SUM(E37:AU37)</f>
        <v>43534978899.872215</v>
      </c>
      <c r="E37" s="139">
        <f>E41*E39</f>
        <v>1923124392</v>
      </c>
      <c r="F37" s="139">
        <f t="shared" ref="F37:S37" si="97">F41*F39</f>
        <v>607157843.75999999</v>
      </c>
      <c r="G37" s="139">
        <f t="shared" si="97"/>
        <v>428746846.59360003</v>
      </c>
      <c r="H37" s="139">
        <f t="shared" si="97"/>
        <v>534504402.08668798</v>
      </c>
      <c r="I37" s="139">
        <f t="shared" si="97"/>
        <v>446068219.1959815</v>
      </c>
      <c r="J37" s="139">
        <f t="shared" si="97"/>
        <v>1162751158.0375252</v>
      </c>
      <c r="K37" s="139">
        <f t="shared" si="97"/>
        <v>1392268125.7544975</v>
      </c>
      <c r="L37" s="139">
        <f t="shared" si="97"/>
        <v>1577903875.8550971</v>
      </c>
      <c r="M37" s="139">
        <f t="shared" si="97"/>
        <v>1663110685.1512725</v>
      </c>
      <c r="N37" s="139">
        <f t="shared" si="97"/>
        <v>1477486073.1956789</v>
      </c>
      <c r="O37" s="139">
        <f t="shared" si="97"/>
        <v>1730300356.8313842</v>
      </c>
      <c r="P37" s="139">
        <f t="shared" si="97"/>
        <v>1764906363.9680116</v>
      </c>
      <c r="Q37" s="139">
        <f t="shared" si="97"/>
        <v>1974417829.1100209</v>
      </c>
      <c r="R37" s="139">
        <f t="shared" si="97"/>
        <v>2132371255.4388225</v>
      </c>
      <c r="S37" s="139">
        <f t="shared" si="97"/>
        <v>1993767123.835299</v>
      </c>
      <c r="T37" s="139">
        <f t="shared" ref="T37:AM37" si="98">T41*T39</f>
        <v>2156893524.876369</v>
      </c>
      <c r="U37" s="139">
        <f t="shared" si="98"/>
        <v>2200031395.3738961</v>
      </c>
      <c r="V37" s="139">
        <f t="shared" si="98"/>
        <v>2179916822.6161923</v>
      </c>
      <c r="W37" s="139">
        <f t="shared" si="98"/>
        <v>2158117654.3900304</v>
      </c>
      <c r="X37" s="139">
        <f t="shared" si="98"/>
        <v>2067869097.9337199</v>
      </c>
      <c r="Y37" s="139">
        <f t="shared" si="98"/>
        <v>1700989096.6874144</v>
      </c>
      <c r="Z37" s="139">
        <f t="shared" si="98"/>
        <v>1735008878.6211627</v>
      </c>
      <c r="AA37" s="139">
        <f t="shared" si="98"/>
        <v>1557343969.4503555</v>
      </c>
      <c r="AB37" s="139">
        <f t="shared" si="98"/>
        <v>1516286719.3466644</v>
      </c>
      <c r="AC37" s="139">
        <f t="shared" si="98"/>
        <v>1546612453.7335978</v>
      </c>
      <c r="AD37" s="139">
        <f t="shared" si="98"/>
        <v>1577544702.8082697</v>
      </c>
      <c r="AE37" s="139">
        <f t="shared" si="98"/>
        <v>1072730397.9096235</v>
      </c>
      <c r="AF37" s="139">
        <f t="shared" si="98"/>
        <v>937872862.17241359</v>
      </c>
      <c r="AG37" s="139">
        <f t="shared" si="98"/>
        <v>318876773.13862062</v>
      </c>
      <c r="AH37" s="139">
        <f t="shared" si="98"/>
        <v>0</v>
      </c>
      <c r="AI37" s="139">
        <f t="shared" si="98"/>
        <v>0</v>
      </c>
      <c r="AJ37" s="139">
        <f t="shared" si="98"/>
        <v>0</v>
      </c>
      <c r="AK37" s="139">
        <f t="shared" si="98"/>
        <v>0</v>
      </c>
      <c r="AL37" s="139">
        <f t="shared" si="98"/>
        <v>0</v>
      </c>
      <c r="AM37" s="139">
        <f t="shared" si="98"/>
        <v>0</v>
      </c>
    </row>
    <row r="38" spans="2:55" ht="15.75" x14ac:dyDescent="0.25">
      <c r="B38" s="210">
        <f>G10</f>
        <v>720</v>
      </c>
      <c r="C38" s="4" t="s">
        <v>205</v>
      </c>
      <c r="D38" s="214">
        <f>SUM(E38:AU38)</f>
        <v>720</v>
      </c>
      <c r="E38" s="202">
        <v>42</v>
      </c>
      <c r="F38" s="202">
        <v>13</v>
      </c>
      <c r="G38" s="202">
        <v>9</v>
      </c>
      <c r="H38" s="202">
        <v>11</v>
      </c>
      <c r="I38" s="202">
        <v>9</v>
      </c>
      <c r="J38" s="202">
        <v>23</v>
      </c>
      <c r="K38" s="202">
        <v>27</v>
      </c>
      <c r="L38" s="202">
        <v>30</v>
      </c>
      <c r="M38" s="202">
        <v>31</v>
      </c>
      <c r="N38" s="202">
        <v>27</v>
      </c>
      <c r="O38" s="202">
        <v>31</v>
      </c>
      <c r="P38" s="202">
        <v>31</v>
      </c>
      <c r="Q38" s="202">
        <v>34</v>
      </c>
      <c r="R38" s="202">
        <v>36</v>
      </c>
      <c r="S38" s="202">
        <v>33</v>
      </c>
      <c r="T38" s="202">
        <v>35</v>
      </c>
      <c r="U38" s="202">
        <v>35</v>
      </c>
      <c r="V38" s="202">
        <v>34</v>
      </c>
      <c r="W38" s="202">
        <v>33</v>
      </c>
      <c r="X38" s="202">
        <v>31</v>
      </c>
      <c r="Y38" s="202">
        <v>25</v>
      </c>
      <c r="Z38" s="202">
        <v>25</v>
      </c>
      <c r="AA38" s="202">
        <v>22</v>
      </c>
      <c r="AB38" s="202">
        <v>21</v>
      </c>
      <c r="AC38" s="202">
        <v>21</v>
      </c>
      <c r="AD38" s="202">
        <v>21</v>
      </c>
      <c r="AE38" s="202">
        <v>14</v>
      </c>
      <c r="AF38" s="202">
        <v>12</v>
      </c>
      <c r="AG38" s="202">
        <v>4</v>
      </c>
      <c r="AH38" s="202"/>
      <c r="AI38" s="202"/>
      <c r="AJ38" s="202"/>
      <c r="AK38" s="202"/>
      <c r="AL38" s="202"/>
      <c r="AM38" s="202"/>
    </row>
    <row r="39" spans="2:55" ht="15" x14ac:dyDescent="0.2">
      <c r="B39" s="211">
        <f>F10</f>
        <v>66240</v>
      </c>
      <c r="C39" s="4" t="s">
        <v>144</v>
      </c>
      <c r="D39" s="215">
        <f>SUM(E39:S39)</f>
        <v>35604</v>
      </c>
      <c r="E39" s="136">
        <f>E38*$B$37</f>
        <v>3864</v>
      </c>
      <c r="F39" s="136">
        <f t="shared" ref="F39:S39" si="99">F38*$B$37</f>
        <v>1196</v>
      </c>
      <c r="G39" s="136">
        <f t="shared" si="99"/>
        <v>828</v>
      </c>
      <c r="H39" s="136">
        <f t="shared" si="99"/>
        <v>1012</v>
      </c>
      <c r="I39" s="136">
        <f t="shared" si="99"/>
        <v>828</v>
      </c>
      <c r="J39" s="136">
        <f t="shared" si="99"/>
        <v>2116</v>
      </c>
      <c r="K39" s="136">
        <f t="shared" si="99"/>
        <v>2484</v>
      </c>
      <c r="L39" s="136">
        <f t="shared" si="99"/>
        <v>2760</v>
      </c>
      <c r="M39" s="136">
        <f t="shared" si="99"/>
        <v>2852</v>
      </c>
      <c r="N39" s="136">
        <f t="shared" si="99"/>
        <v>2484</v>
      </c>
      <c r="O39" s="136">
        <f t="shared" si="99"/>
        <v>2852</v>
      </c>
      <c r="P39" s="136">
        <f t="shared" si="99"/>
        <v>2852</v>
      </c>
      <c r="Q39" s="136">
        <f t="shared" si="99"/>
        <v>3128</v>
      </c>
      <c r="R39" s="136">
        <f t="shared" si="99"/>
        <v>3312</v>
      </c>
      <c r="S39" s="136">
        <f t="shared" si="99"/>
        <v>3036</v>
      </c>
      <c r="T39" s="136">
        <f t="shared" ref="T39:AM39" si="100">T38*$B$37</f>
        <v>3220</v>
      </c>
      <c r="U39" s="136">
        <f t="shared" si="100"/>
        <v>3220</v>
      </c>
      <c r="V39" s="136">
        <f t="shared" si="100"/>
        <v>3128</v>
      </c>
      <c r="W39" s="136">
        <f t="shared" si="100"/>
        <v>3036</v>
      </c>
      <c r="X39" s="136">
        <f t="shared" si="100"/>
        <v>2852</v>
      </c>
      <c r="Y39" s="136">
        <f t="shared" si="100"/>
        <v>2300</v>
      </c>
      <c r="Z39" s="136">
        <f t="shared" si="100"/>
        <v>2300</v>
      </c>
      <c r="AA39" s="136">
        <f t="shared" si="100"/>
        <v>2024</v>
      </c>
      <c r="AB39" s="136">
        <f t="shared" si="100"/>
        <v>1932</v>
      </c>
      <c r="AC39" s="136">
        <f t="shared" si="100"/>
        <v>1932</v>
      </c>
      <c r="AD39" s="136">
        <f t="shared" si="100"/>
        <v>1932</v>
      </c>
      <c r="AE39" s="136">
        <f t="shared" si="100"/>
        <v>1288</v>
      </c>
      <c r="AF39" s="136">
        <f t="shared" si="100"/>
        <v>1104</v>
      </c>
      <c r="AG39" s="136">
        <f t="shared" si="100"/>
        <v>368</v>
      </c>
      <c r="AH39" s="136">
        <f t="shared" si="100"/>
        <v>0</v>
      </c>
      <c r="AI39" s="136">
        <f t="shared" si="100"/>
        <v>0</v>
      </c>
      <c r="AJ39" s="136">
        <f t="shared" si="100"/>
        <v>0</v>
      </c>
      <c r="AK39" s="136">
        <f t="shared" si="100"/>
        <v>0</v>
      </c>
      <c r="AL39" s="136">
        <f t="shared" si="100"/>
        <v>0</v>
      </c>
      <c r="AM39" s="136">
        <f t="shared" si="100"/>
        <v>0</v>
      </c>
    </row>
    <row r="40" spans="2:55" ht="15" x14ac:dyDescent="0.2">
      <c r="B40" s="211"/>
      <c r="C40" s="4" t="s">
        <v>61</v>
      </c>
      <c r="D40" s="216">
        <f>SUM(E40:T40)</f>
        <v>0.32</v>
      </c>
      <c r="E40" s="268">
        <v>0.02</v>
      </c>
      <c r="F40" s="138">
        <f>E40</f>
        <v>0.02</v>
      </c>
      <c r="G40" s="138">
        <f t="shared" ref="G40:T40" si="101">F40</f>
        <v>0.02</v>
      </c>
      <c r="H40" s="138">
        <f t="shared" si="101"/>
        <v>0.02</v>
      </c>
      <c r="I40" s="138">
        <f t="shared" si="101"/>
        <v>0.02</v>
      </c>
      <c r="J40" s="138">
        <f t="shared" si="101"/>
        <v>0.02</v>
      </c>
      <c r="K40" s="138">
        <f t="shared" si="101"/>
        <v>0.02</v>
      </c>
      <c r="L40" s="138">
        <f t="shared" si="101"/>
        <v>0.02</v>
      </c>
      <c r="M40" s="138">
        <f t="shared" si="101"/>
        <v>0.02</v>
      </c>
      <c r="N40" s="138">
        <f t="shared" si="101"/>
        <v>0.02</v>
      </c>
      <c r="O40" s="138">
        <f t="shared" si="101"/>
        <v>0.02</v>
      </c>
      <c r="P40" s="138">
        <f t="shared" si="101"/>
        <v>0.02</v>
      </c>
      <c r="Q40" s="138">
        <f t="shared" si="101"/>
        <v>0.02</v>
      </c>
      <c r="R40" s="138">
        <f t="shared" si="101"/>
        <v>0.02</v>
      </c>
      <c r="S40" s="138">
        <f t="shared" si="101"/>
        <v>0.02</v>
      </c>
      <c r="T40" s="138">
        <f t="shared" si="101"/>
        <v>0.02</v>
      </c>
      <c r="U40" s="138">
        <f t="shared" ref="U40" si="102">T40</f>
        <v>0.02</v>
      </c>
      <c r="V40" s="138">
        <f t="shared" ref="V40" si="103">U40</f>
        <v>0.02</v>
      </c>
      <c r="W40" s="138">
        <f t="shared" ref="W40" si="104">V40</f>
        <v>0.02</v>
      </c>
      <c r="X40" s="138">
        <f t="shared" ref="X40" si="105">W40</f>
        <v>0.02</v>
      </c>
      <c r="Y40" s="138">
        <f t="shared" ref="Y40" si="106">X40</f>
        <v>0.02</v>
      </c>
      <c r="Z40" s="138">
        <f t="shared" ref="Z40" si="107">Y40</f>
        <v>0.02</v>
      </c>
      <c r="AA40" s="138">
        <f t="shared" ref="AA40" si="108">Z40</f>
        <v>0.02</v>
      </c>
      <c r="AB40" s="138">
        <f t="shared" ref="AB40" si="109">AA40</f>
        <v>0.02</v>
      </c>
      <c r="AC40" s="138">
        <f t="shared" ref="AC40" si="110">AB40</f>
        <v>0.02</v>
      </c>
      <c r="AD40" s="138">
        <f t="shared" ref="AD40" si="111">AC40</f>
        <v>0.02</v>
      </c>
      <c r="AE40" s="138">
        <f t="shared" ref="AE40" si="112">AD40</f>
        <v>0.02</v>
      </c>
      <c r="AF40" s="138">
        <f t="shared" ref="AF40" si="113">AE40</f>
        <v>0.02</v>
      </c>
      <c r="AG40" s="138">
        <f t="shared" ref="AG40" si="114">AF40</f>
        <v>0.02</v>
      </c>
      <c r="AH40" s="138">
        <f t="shared" ref="AH40" si="115">AG40</f>
        <v>0.02</v>
      </c>
      <c r="AI40" s="138">
        <f t="shared" ref="AI40" si="116">AH40</f>
        <v>0.02</v>
      </c>
      <c r="AJ40" s="138">
        <f t="shared" ref="AJ40" si="117">AI40</f>
        <v>0.02</v>
      </c>
      <c r="AK40" s="138">
        <f t="shared" ref="AK40" si="118">AJ40</f>
        <v>0.02</v>
      </c>
      <c r="AL40" s="138">
        <f t="shared" ref="AL40" si="119">AK40</f>
        <v>0.02</v>
      </c>
      <c r="AM40" s="138">
        <f t="shared" ref="AM40" si="120">AL40</f>
        <v>0.02</v>
      </c>
    </row>
    <row r="41" spans="2:55" ht="15" x14ac:dyDescent="0.2">
      <c r="B41" s="336">
        <f>H10</f>
        <v>497703</v>
      </c>
      <c r="C41" s="4" t="s">
        <v>92</v>
      </c>
      <c r="D41" s="217">
        <f>AVERAGE(E41:S41)</f>
        <v>573799.03196311428</v>
      </c>
      <c r="E41" s="136">
        <f>B41</f>
        <v>497703</v>
      </c>
      <c r="F41" s="136">
        <f>E41+E41*E40</f>
        <v>507657.06</v>
      </c>
      <c r="G41" s="136">
        <f t="shared" ref="G41:S41" si="121">F41+F41*F40</f>
        <v>517810.20120000001</v>
      </c>
      <c r="H41" s="136">
        <f t="shared" si="121"/>
        <v>528166.40522399999</v>
      </c>
      <c r="I41" s="136">
        <f t="shared" si="121"/>
        <v>538729.73332848004</v>
      </c>
      <c r="J41" s="136">
        <f t="shared" si="121"/>
        <v>549504.32799504965</v>
      </c>
      <c r="K41" s="136">
        <f t="shared" si="121"/>
        <v>560494.41455495066</v>
      </c>
      <c r="L41" s="136">
        <f t="shared" si="121"/>
        <v>571704.30284604966</v>
      </c>
      <c r="M41" s="136">
        <f t="shared" si="121"/>
        <v>583138.38890297071</v>
      </c>
      <c r="N41" s="136">
        <f t="shared" si="121"/>
        <v>594801.15668103017</v>
      </c>
      <c r="O41" s="136">
        <f t="shared" si="121"/>
        <v>606697.17981465079</v>
      </c>
      <c r="P41" s="136">
        <f t="shared" si="121"/>
        <v>618831.12341094378</v>
      </c>
      <c r="Q41" s="136">
        <f t="shared" si="121"/>
        <v>631207.74587916269</v>
      </c>
      <c r="R41" s="136">
        <f t="shared" si="121"/>
        <v>643831.9007967459</v>
      </c>
      <c r="S41" s="136">
        <f t="shared" si="121"/>
        <v>656708.53881268087</v>
      </c>
      <c r="T41" s="136">
        <f t="shared" ref="T41" si="122">S41+S41*S40</f>
        <v>669842.70958893443</v>
      </c>
      <c r="U41" s="136">
        <f t="shared" ref="U41" si="123">T41+T41*T40</f>
        <v>683239.56378071313</v>
      </c>
      <c r="V41" s="136">
        <f t="shared" ref="V41" si="124">U41+U41*U40</f>
        <v>696904.35505632742</v>
      </c>
      <c r="W41" s="136">
        <f t="shared" ref="W41" si="125">V41+V41*V40</f>
        <v>710842.44215745397</v>
      </c>
      <c r="X41" s="136">
        <f t="shared" ref="X41" si="126">W41+W41*W40</f>
        <v>725059.291000603</v>
      </c>
      <c r="Y41" s="136">
        <f t="shared" ref="Y41" si="127">X41+X41*X40</f>
        <v>739560.476820615</v>
      </c>
      <c r="Z41" s="136">
        <f t="shared" ref="Z41" si="128">Y41+Y41*Y40</f>
        <v>754351.68635702727</v>
      </c>
      <c r="AA41" s="136">
        <f t="shared" ref="AA41" si="129">Z41+Z41*Z40</f>
        <v>769438.72008416778</v>
      </c>
      <c r="AB41" s="136">
        <f t="shared" ref="AB41" si="130">AA41+AA41*AA40</f>
        <v>784827.49448585114</v>
      </c>
      <c r="AC41" s="136">
        <f t="shared" ref="AC41" si="131">AB41+AB41*AB40</f>
        <v>800524.04437556816</v>
      </c>
      <c r="AD41" s="136">
        <f t="shared" ref="AD41" si="132">AC41+AC41*AC40</f>
        <v>816534.52526307956</v>
      </c>
      <c r="AE41" s="136">
        <f t="shared" ref="AE41" si="133">AD41+AD41*AD40</f>
        <v>832865.21576834121</v>
      </c>
      <c r="AF41" s="136">
        <f t="shared" ref="AF41" si="134">AE41+AE41*AE40</f>
        <v>849522.52008370799</v>
      </c>
      <c r="AG41" s="136">
        <f t="shared" ref="AG41" si="135">AF41+AF41*AF40</f>
        <v>866512.97048538213</v>
      </c>
      <c r="AH41" s="136">
        <f t="shared" ref="AH41" si="136">AG41+AG41*AG40</f>
        <v>883843.22989508975</v>
      </c>
      <c r="AI41" s="136">
        <f t="shared" ref="AI41" si="137">AH41+AH41*AH40</f>
        <v>901520.09449299157</v>
      </c>
      <c r="AJ41" s="136">
        <f t="shared" ref="AJ41" si="138">AI41+AI41*AI40</f>
        <v>919550.49638285139</v>
      </c>
      <c r="AK41" s="136">
        <f t="shared" ref="AK41" si="139">AJ41+AJ41*AJ40</f>
        <v>937941.50631050847</v>
      </c>
      <c r="AL41" s="136">
        <f t="shared" ref="AL41" si="140">AK41+AK41*AK40</f>
        <v>956700.33643671859</v>
      </c>
      <c r="AM41" s="136">
        <f t="shared" ref="AM41" si="141">AL41+AL41*AL40</f>
        <v>975834.34316545294</v>
      </c>
    </row>
    <row r="42" spans="2:55" ht="15.75" x14ac:dyDescent="0.25">
      <c r="B42" s="209">
        <f>E15</f>
        <v>80</v>
      </c>
      <c r="C42" s="31" t="str">
        <f>C15</f>
        <v>ПСН</v>
      </c>
      <c r="D42" s="214">
        <f>SUM(E42:AU42)</f>
        <v>10206468265.885023</v>
      </c>
      <c r="E42" s="139">
        <f>E46*E44</f>
        <v>0</v>
      </c>
      <c r="F42" s="139">
        <f t="shared" ref="F42:Q42" si="142">F46*F44</f>
        <v>0</v>
      </c>
      <c r="G42" s="139">
        <f t="shared" si="142"/>
        <v>0</v>
      </c>
      <c r="H42" s="139">
        <f t="shared" si="142"/>
        <v>0</v>
      </c>
      <c r="I42" s="139">
        <f t="shared" si="142"/>
        <v>0</v>
      </c>
      <c r="J42" s="139">
        <f t="shared" si="142"/>
        <v>0</v>
      </c>
      <c r="K42" s="139">
        <f t="shared" si="142"/>
        <v>0</v>
      </c>
      <c r="L42" s="139">
        <f t="shared" si="142"/>
        <v>0</v>
      </c>
      <c r="M42" s="139">
        <f t="shared" si="142"/>
        <v>0</v>
      </c>
      <c r="N42" s="139">
        <f t="shared" si="142"/>
        <v>0</v>
      </c>
      <c r="O42" s="139">
        <f t="shared" si="142"/>
        <v>0</v>
      </c>
      <c r="P42" s="139">
        <f t="shared" si="142"/>
        <v>0</v>
      </c>
      <c r="Q42" s="139">
        <f t="shared" si="142"/>
        <v>0</v>
      </c>
      <c r="R42" s="139">
        <f>R46*R44</f>
        <v>137381024.15419319</v>
      </c>
      <c r="S42" s="139">
        <f>S46*S44</f>
        <v>140128644.63727707</v>
      </c>
      <c r="T42" s="139">
        <f>T46*T44</f>
        <v>171355956.83542821</v>
      </c>
      <c r="U42" s="139">
        <f t="shared" ref="U42:AM42" si="143">U46*U44</f>
        <v>329468569.22174704</v>
      </c>
      <c r="V42" s="139">
        <f t="shared" si="143"/>
        <v>336057940.60618198</v>
      </c>
      <c r="W42" s="139">
        <f t="shared" si="143"/>
        <v>342779099.41830564</v>
      </c>
      <c r="X42" s="139">
        <f t="shared" si="143"/>
        <v>536864053.29994452</v>
      </c>
      <c r="Y42" s="139">
        <f t="shared" si="143"/>
        <v>794744105.26506341</v>
      </c>
      <c r="Z42" s="139">
        <f t="shared" si="143"/>
        <v>627758686.31564116</v>
      </c>
      <c r="AA42" s="139">
        <f t="shared" si="143"/>
        <v>1228404526.805099</v>
      </c>
      <c r="AB42" s="139">
        <f t="shared" si="143"/>
        <v>1035265904.9269365</v>
      </c>
      <c r="AC42" s="139">
        <f t="shared" si="143"/>
        <v>1055971223.0254753</v>
      </c>
      <c r="AD42" s="139">
        <f t="shared" si="143"/>
        <v>1251323004.098139</v>
      </c>
      <c r="AE42" s="139">
        <f t="shared" si="143"/>
        <v>765295604.46333325</v>
      </c>
      <c r="AF42" s="139">
        <f t="shared" si="143"/>
        <v>652576837.74942744</v>
      </c>
      <c r="AG42" s="139">
        <f t="shared" si="143"/>
        <v>184896770.69567111</v>
      </c>
      <c r="AH42" s="139">
        <f>AH46*AH44</f>
        <v>188594706.10958454</v>
      </c>
      <c r="AI42" s="139">
        <f>AI46*AI44</f>
        <v>192366600.23177621</v>
      </c>
      <c r="AJ42" s="139">
        <f>AJ46*AJ44</f>
        <v>235235008.02579966</v>
      </c>
      <c r="AK42" s="139">
        <f t="shared" si="143"/>
        <v>0</v>
      </c>
      <c r="AL42" s="139">
        <f t="shared" si="143"/>
        <v>0</v>
      </c>
      <c r="AM42" s="139">
        <f t="shared" si="143"/>
        <v>0</v>
      </c>
    </row>
    <row r="43" spans="2:55" ht="15.75" x14ac:dyDescent="0.25">
      <c r="B43" s="210">
        <f>G15</f>
        <v>129.02500000000001</v>
      </c>
      <c r="C43" s="4" t="s">
        <v>205</v>
      </c>
      <c r="D43" s="214">
        <f>SUM(E43:AU43)</f>
        <v>136.10760000000005</v>
      </c>
      <c r="E43" s="202">
        <v>0</v>
      </c>
      <c r="F43" s="202">
        <v>0</v>
      </c>
      <c r="G43" s="202">
        <v>0</v>
      </c>
      <c r="H43" s="202">
        <v>0</v>
      </c>
      <c r="I43" s="202">
        <v>0</v>
      </c>
      <c r="J43" s="202">
        <v>0</v>
      </c>
      <c r="K43" s="202">
        <v>0</v>
      </c>
      <c r="L43" s="202">
        <v>0</v>
      </c>
      <c r="M43" s="202">
        <v>0</v>
      </c>
      <c r="N43" s="202">
        <v>0</v>
      </c>
      <c r="O43" s="202">
        <v>0</v>
      </c>
      <c r="P43" s="202">
        <v>0</v>
      </c>
      <c r="Q43" s="202">
        <v>0</v>
      </c>
      <c r="R43" s="202">
        <v>2.2124999999999999</v>
      </c>
      <c r="S43" s="202">
        <v>2.2124999999999999</v>
      </c>
      <c r="T43" s="202">
        <v>2.6524999999999999</v>
      </c>
      <c r="U43" s="202">
        <v>5</v>
      </c>
      <c r="V43" s="202">
        <v>5</v>
      </c>
      <c r="W43" s="202">
        <v>5</v>
      </c>
      <c r="X43" s="202">
        <v>7.6775000000000002</v>
      </c>
      <c r="Y43" s="202">
        <v>11.142500000000002</v>
      </c>
      <c r="Z43" s="202">
        <v>8.6287500000000001</v>
      </c>
      <c r="AA43" s="202">
        <v>16.553750000000001</v>
      </c>
      <c r="AB43" s="202">
        <v>13.6775</v>
      </c>
      <c r="AC43" s="202">
        <v>13.6775</v>
      </c>
      <c r="AD43" s="202">
        <v>15.89</v>
      </c>
      <c r="AE43" s="202">
        <v>9.5276000000000209</v>
      </c>
      <c r="AF43" s="202">
        <v>7.9650000000000007</v>
      </c>
      <c r="AG43" s="202">
        <v>2.2124999999999999</v>
      </c>
      <c r="AH43" s="202">
        <v>2.2124999999999999</v>
      </c>
      <c r="AI43" s="202">
        <v>2.2124999999999999</v>
      </c>
      <c r="AJ43" s="202">
        <v>2.6524999999999976</v>
      </c>
      <c r="AK43" s="202">
        <v>0</v>
      </c>
      <c r="AL43" s="202">
        <v>0</v>
      </c>
      <c r="AM43" s="202">
        <v>0</v>
      </c>
    </row>
    <row r="44" spans="2:55" ht="15.75" x14ac:dyDescent="0.25">
      <c r="B44" s="212">
        <f>F15</f>
        <v>10322</v>
      </c>
      <c r="C44" s="4" t="s">
        <v>144</v>
      </c>
      <c r="D44" s="214">
        <f>SUM(E44:AU44)</f>
        <v>10888.608000000004</v>
      </c>
      <c r="E44" s="136">
        <f>E43*$B$42</f>
        <v>0</v>
      </c>
      <c r="F44" s="136">
        <f t="shared" ref="F44:Q44" si="144">F43*$B$42</f>
        <v>0</v>
      </c>
      <c r="G44" s="136">
        <f t="shared" si="144"/>
        <v>0</v>
      </c>
      <c r="H44" s="136">
        <f t="shared" si="144"/>
        <v>0</v>
      </c>
      <c r="I44" s="136">
        <f t="shared" si="144"/>
        <v>0</v>
      </c>
      <c r="J44" s="136">
        <f t="shared" si="144"/>
        <v>0</v>
      </c>
      <c r="K44" s="136">
        <f t="shared" si="144"/>
        <v>0</v>
      </c>
      <c r="L44" s="136">
        <f t="shared" si="144"/>
        <v>0</v>
      </c>
      <c r="M44" s="136">
        <f t="shared" si="144"/>
        <v>0</v>
      </c>
      <c r="N44" s="136">
        <f t="shared" si="144"/>
        <v>0</v>
      </c>
      <c r="O44" s="136">
        <f t="shared" si="144"/>
        <v>0</v>
      </c>
      <c r="P44" s="136">
        <f t="shared" si="144"/>
        <v>0</v>
      </c>
      <c r="Q44" s="136">
        <f t="shared" si="144"/>
        <v>0</v>
      </c>
      <c r="R44" s="136">
        <f>R43*$B$42</f>
        <v>177</v>
      </c>
      <c r="S44" s="136">
        <f>S43*$B$42</f>
        <v>177</v>
      </c>
      <c r="T44" s="136">
        <f>T43*$B$42</f>
        <v>212.2</v>
      </c>
      <c r="U44" s="136">
        <f t="shared" ref="U44:AM44" si="145">U43*$B$42</f>
        <v>400</v>
      </c>
      <c r="V44" s="136">
        <f t="shared" si="145"/>
        <v>400</v>
      </c>
      <c r="W44" s="136">
        <f t="shared" si="145"/>
        <v>400</v>
      </c>
      <c r="X44" s="136">
        <f t="shared" si="145"/>
        <v>614.20000000000005</v>
      </c>
      <c r="Y44" s="136">
        <f t="shared" si="145"/>
        <v>891.40000000000009</v>
      </c>
      <c r="Z44" s="136">
        <f t="shared" si="145"/>
        <v>690.3</v>
      </c>
      <c r="AA44" s="136">
        <f t="shared" si="145"/>
        <v>1324.3000000000002</v>
      </c>
      <c r="AB44" s="136">
        <f t="shared" si="145"/>
        <v>1094.2</v>
      </c>
      <c r="AC44" s="136">
        <f t="shared" si="145"/>
        <v>1094.2</v>
      </c>
      <c r="AD44" s="136">
        <f t="shared" si="145"/>
        <v>1271.2</v>
      </c>
      <c r="AE44" s="136">
        <f t="shared" si="145"/>
        <v>762.20800000000168</v>
      </c>
      <c r="AF44" s="136">
        <f t="shared" si="145"/>
        <v>637.20000000000005</v>
      </c>
      <c r="AG44" s="136">
        <f t="shared" si="145"/>
        <v>177</v>
      </c>
      <c r="AH44" s="136">
        <f>AH43*$B$42</f>
        <v>177</v>
      </c>
      <c r="AI44" s="136">
        <f>AI43*$B$42</f>
        <v>177</v>
      </c>
      <c r="AJ44" s="136">
        <f>AJ43*$B$42</f>
        <v>212.19999999999982</v>
      </c>
      <c r="AK44" s="136">
        <f t="shared" si="145"/>
        <v>0</v>
      </c>
      <c r="AL44" s="136">
        <f t="shared" si="145"/>
        <v>0</v>
      </c>
      <c r="AM44" s="136">
        <f t="shared" si="145"/>
        <v>0</v>
      </c>
    </row>
    <row r="45" spans="2:55" ht="15" x14ac:dyDescent="0.2">
      <c r="B45" s="211"/>
      <c r="C45" s="4" t="s">
        <v>61</v>
      </c>
      <c r="D45" s="216">
        <f>SUM(E45:T45)</f>
        <v>0.32</v>
      </c>
      <c r="E45" s="268">
        <v>0.02</v>
      </c>
      <c r="F45" s="138">
        <f>E45</f>
        <v>0.02</v>
      </c>
      <c r="G45" s="138">
        <f t="shared" ref="G45:T45" si="146">F45</f>
        <v>0.02</v>
      </c>
      <c r="H45" s="138">
        <f t="shared" si="146"/>
        <v>0.02</v>
      </c>
      <c r="I45" s="138">
        <f t="shared" si="146"/>
        <v>0.02</v>
      </c>
      <c r="J45" s="138">
        <f t="shared" si="146"/>
        <v>0.02</v>
      </c>
      <c r="K45" s="138">
        <f t="shared" si="146"/>
        <v>0.02</v>
      </c>
      <c r="L45" s="138">
        <f t="shared" si="146"/>
        <v>0.02</v>
      </c>
      <c r="M45" s="138">
        <f t="shared" si="146"/>
        <v>0.02</v>
      </c>
      <c r="N45" s="138">
        <f t="shared" si="146"/>
        <v>0.02</v>
      </c>
      <c r="O45" s="138">
        <f t="shared" si="146"/>
        <v>0.02</v>
      </c>
      <c r="P45" s="138">
        <f t="shared" si="146"/>
        <v>0.02</v>
      </c>
      <c r="Q45" s="138">
        <f t="shared" si="146"/>
        <v>0.02</v>
      </c>
      <c r="R45" s="138">
        <f t="shared" si="146"/>
        <v>0.02</v>
      </c>
      <c r="S45" s="138">
        <f t="shared" si="146"/>
        <v>0.02</v>
      </c>
      <c r="T45" s="138">
        <f t="shared" si="146"/>
        <v>0.02</v>
      </c>
      <c r="U45" s="138">
        <f t="shared" ref="U45" si="147">T45</f>
        <v>0.02</v>
      </c>
      <c r="V45" s="138">
        <f t="shared" ref="V45" si="148">U45</f>
        <v>0.02</v>
      </c>
      <c r="W45" s="138">
        <f t="shared" ref="W45" si="149">V45</f>
        <v>0.02</v>
      </c>
      <c r="X45" s="138">
        <f t="shared" ref="X45" si="150">W45</f>
        <v>0.02</v>
      </c>
      <c r="Y45" s="138">
        <f t="shared" ref="Y45" si="151">X45</f>
        <v>0.02</v>
      </c>
      <c r="Z45" s="138">
        <f t="shared" ref="Z45" si="152">Y45</f>
        <v>0.02</v>
      </c>
      <c r="AA45" s="138">
        <f t="shared" ref="AA45" si="153">Z45</f>
        <v>0.02</v>
      </c>
      <c r="AB45" s="138">
        <f t="shared" ref="AB45" si="154">AA45</f>
        <v>0.02</v>
      </c>
      <c r="AC45" s="138">
        <f t="shared" ref="AC45" si="155">AB45</f>
        <v>0.02</v>
      </c>
      <c r="AD45" s="138">
        <f t="shared" ref="AD45" si="156">AC45</f>
        <v>0.02</v>
      </c>
      <c r="AE45" s="138">
        <f t="shared" ref="AE45" si="157">AD45</f>
        <v>0.02</v>
      </c>
      <c r="AF45" s="138">
        <f t="shared" ref="AF45" si="158">AE45</f>
        <v>0.02</v>
      </c>
      <c r="AG45" s="138">
        <f t="shared" ref="AG45" si="159">AF45</f>
        <v>0.02</v>
      </c>
      <c r="AH45" s="138">
        <f t="shared" ref="AH45" si="160">AG45</f>
        <v>0.02</v>
      </c>
      <c r="AI45" s="138">
        <f t="shared" ref="AI45" si="161">AH45</f>
        <v>0.02</v>
      </c>
      <c r="AJ45" s="138">
        <f t="shared" ref="AJ45" si="162">AI45</f>
        <v>0.02</v>
      </c>
      <c r="AK45" s="138">
        <f t="shared" ref="AK45" si="163">AJ45</f>
        <v>0.02</v>
      </c>
      <c r="AL45" s="138">
        <f t="shared" ref="AL45" si="164">AK45</f>
        <v>0.02</v>
      </c>
      <c r="AM45" s="138">
        <f t="shared" ref="AM45" si="165">AL45</f>
        <v>0.02</v>
      </c>
    </row>
    <row r="46" spans="2:55" ht="15" x14ac:dyDescent="0.2">
      <c r="B46" s="336">
        <f>H15</f>
        <v>600000</v>
      </c>
      <c r="C46" s="4" t="s">
        <v>92</v>
      </c>
      <c r="D46" s="338">
        <f>AVERAGE(E46:S46)</f>
        <v>691736.67664825916</v>
      </c>
      <c r="E46" s="136">
        <f>B46</f>
        <v>600000</v>
      </c>
      <c r="F46" s="136">
        <f>E46+E46*E45</f>
        <v>612000</v>
      </c>
      <c r="G46" s="136">
        <f t="shared" ref="G46:S46" si="166">F46+F46*F45</f>
        <v>624240</v>
      </c>
      <c r="H46" s="136">
        <f t="shared" si="166"/>
        <v>636724.80000000005</v>
      </c>
      <c r="I46" s="136">
        <f t="shared" si="166"/>
        <v>649459.29600000009</v>
      </c>
      <c r="J46" s="136">
        <f t="shared" si="166"/>
        <v>662448.48192000005</v>
      </c>
      <c r="K46" s="136">
        <f t="shared" si="166"/>
        <v>675697.45155840006</v>
      </c>
      <c r="L46" s="136">
        <f t="shared" si="166"/>
        <v>689211.40058956807</v>
      </c>
      <c r="M46" s="136">
        <f t="shared" si="166"/>
        <v>702995.62860135944</v>
      </c>
      <c r="N46" s="136">
        <f t="shared" si="166"/>
        <v>717055.54117338662</v>
      </c>
      <c r="O46" s="136">
        <f t="shared" si="166"/>
        <v>731396.65199685434</v>
      </c>
      <c r="P46" s="136">
        <f t="shared" si="166"/>
        <v>746024.5850367914</v>
      </c>
      <c r="Q46" s="136">
        <f t="shared" si="166"/>
        <v>760945.07673752727</v>
      </c>
      <c r="R46" s="136">
        <f t="shared" si="166"/>
        <v>776163.97827227786</v>
      </c>
      <c r="S46" s="136">
        <f t="shared" si="166"/>
        <v>791687.25783772347</v>
      </c>
      <c r="T46" s="136">
        <f t="shared" ref="T46" si="167">S46+S46*S45</f>
        <v>807521.00299447798</v>
      </c>
      <c r="U46" s="136">
        <f t="shared" ref="U46" si="168">T46+T46*T45</f>
        <v>823671.42305436754</v>
      </c>
      <c r="V46" s="136">
        <f t="shared" ref="V46" si="169">U46+U46*U45</f>
        <v>840144.85151545494</v>
      </c>
      <c r="W46" s="136">
        <f t="shared" ref="W46" si="170">V46+V46*V45</f>
        <v>856947.74854576401</v>
      </c>
      <c r="X46" s="136">
        <f t="shared" ref="X46" si="171">W46+W46*W45</f>
        <v>874086.70351667935</v>
      </c>
      <c r="Y46" s="136">
        <f t="shared" ref="Y46" si="172">X46+X46*X45</f>
        <v>891568.43758701289</v>
      </c>
      <c r="Z46" s="136">
        <f t="shared" ref="Z46" si="173">Y46+Y46*Y45</f>
        <v>909399.80633875309</v>
      </c>
      <c r="AA46" s="136">
        <f t="shared" ref="AA46" si="174">Z46+Z46*Z45</f>
        <v>927587.80246552813</v>
      </c>
      <c r="AB46" s="136">
        <f t="shared" ref="AB46" si="175">AA46+AA46*AA45</f>
        <v>946139.55851483869</v>
      </c>
      <c r="AC46" s="136">
        <f t="shared" ref="AC46" si="176">AB46+AB46*AB45</f>
        <v>965062.34968513541</v>
      </c>
      <c r="AD46" s="136">
        <f t="shared" ref="AD46" si="177">AC46+AC46*AC45</f>
        <v>984363.59667883813</v>
      </c>
      <c r="AE46" s="136">
        <f t="shared" ref="AE46" si="178">AD46+AD46*AD45</f>
        <v>1004050.8686124149</v>
      </c>
      <c r="AF46" s="136">
        <f t="shared" ref="AF46" si="179">AE46+AE46*AE45</f>
        <v>1024131.8859846633</v>
      </c>
      <c r="AG46" s="136">
        <f t="shared" ref="AG46" si="180">AF46+AF46*AF45</f>
        <v>1044614.5237043565</v>
      </c>
      <c r="AH46" s="136">
        <f t="shared" ref="AH46" si="181">AG46+AG46*AG45</f>
        <v>1065506.8141784437</v>
      </c>
      <c r="AI46" s="136">
        <f t="shared" ref="AI46" si="182">AH46+AH46*AH45</f>
        <v>1086816.9504620126</v>
      </c>
      <c r="AJ46" s="136">
        <f t="shared" ref="AJ46" si="183">AI46+AI46*AI45</f>
        <v>1108553.2894712528</v>
      </c>
      <c r="AK46" s="136"/>
      <c r="AL46" s="136"/>
      <c r="AM46" s="136"/>
    </row>
    <row r="47" spans="2:55" ht="15.75" x14ac:dyDescent="0.25">
      <c r="B47" s="367">
        <f>E16</f>
        <v>40.945</v>
      </c>
      <c r="C47" s="31" t="s">
        <v>91</v>
      </c>
      <c r="D47" s="214">
        <f>SUM(E47:AU47)</f>
        <v>13591248148.476246</v>
      </c>
      <c r="E47" s="139">
        <f>E51*E49</f>
        <v>0</v>
      </c>
      <c r="F47" s="139">
        <f t="shared" ref="F47:S47" si="184">F51*F49</f>
        <v>0</v>
      </c>
      <c r="G47" s="139">
        <f t="shared" si="184"/>
        <v>0</v>
      </c>
      <c r="H47" s="139">
        <f t="shared" si="184"/>
        <v>0</v>
      </c>
      <c r="I47" s="139">
        <f t="shared" si="184"/>
        <v>0</v>
      </c>
      <c r="J47" s="139">
        <f t="shared" si="184"/>
        <v>0</v>
      </c>
      <c r="K47" s="139">
        <f t="shared" si="184"/>
        <v>0</v>
      </c>
      <c r="L47" s="139">
        <f t="shared" si="184"/>
        <v>203182277.739407</v>
      </c>
      <c r="M47" s="139">
        <f t="shared" si="184"/>
        <v>233151663.70596951</v>
      </c>
      <c r="N47" s="139">
        <f t="shared" si="184"/>
        <v>251026624.59009388</v>
      </c>
      <c r="O47" s="139">
        <f t="shared" si="184"/>
        <v>282999489.40630585</v>
      </c>
      <c r="P47" s="139">
        <f t="shared" si="184"/>
        <v>508590510.96161819</v>
      </c>
      <c r="Q47" s="139">
        <f t="shared" si="184"/>
        <v>560824131.00632501</v>
      </c>
      <c r="R47" s="139">
        <f t="shared" si="184"/>
        <v>629244674.98909664</v>
      </c>
      <c r="S47" s="139">
        <f t="shared" si="184"/>
        <v>685590675.43130207</v>
      </c>
      <c r="T47" s="139">
        <f t="shared" ref="T47:AM47" si="185">T51*T49</f>
        <v>833211476.18374419</v>
      </c>
      <c r="U47" s="139">
        <f t="shared" si="185"/>
        <v>910581113.25794888</v>
      </c>
      <c r="V47" s="139">
        <f t="shared" si="185"/>
        <v>990712251.22464836</v>
      </c>
      <c r="W47" s="139">
        <f t="shared" si="185"/>
        <v>1089473878.7686057</v>
      </c>
      <c r="X47" s="139">
        <f t="shared" si="185"/>
        <v>1256210750.649714</v>
      </c>
      <c r="Y47" s="139">
        <f t="shared" si="185"/>
        <v>739231710.95925474</v>
      </c>
      <c r="Z47" s="139">
        <f t="shared" si="185"/>
        <v>502677563.45229316</v>
      </c>
      <c r="AA47" s="139">
        <f t="shared" si="185"/>
        <v>700732523.45249677</v>
      </c>
      <c r="AB47" s="139">
        <f t="shared" si="185"/>
        <v>592717168.61786795</v>
      </c>
      <c r="AC47" s="139">
        <f t="shared" si="185"/>
        <v>640134542.1072973</v>
      </c>
      <c r="AD47" s="139">
        <f t="shared" si="185"/>
        <v>689211523.66885686</v>
      </c>
      <c r="AE47" s="139">
        <f t="shared" si="185"/>
        <v>721495642.40913498</v>
      </c>
      <c r="AF47" s="139">
        <f t="shared" si="185"/>
        <v>358527834.61253941</v>
      </c>
      <c r="AG47" s="139">
        <f t="shared" si="185"/>
        <v>211720121.28172061</v>
      </c>
      <c r="AH47" s="139">
        <f t="shared" si="185"/>
        <v>0</v>
      </c>
      <c r="AI47" s="139">
        <f t="shared" si="185"/>
        <v>0</v>
      </c>
      <c r="AJ47" s="139">
        <f t="shared" si="185"/>
        <v>0</v>
      </c>
      <c r="AK47" s="139">
        <f t="shared" si="185"/>
        <v>0</v>
      </c>
      <c r="AL47" s="139">
        <f t="shared" si="185"/>
        <v>0</v>
      </c>
      <c r="AM47" s="139">
        <f t="shared" si="185"/>
        <v>0</v>
      </c>
    </row>
    <row r="48" spans="2:55" ht="15.75" x14ac:dyDescent="0.25">
      <c r="B48" s="210">
        <f>G16</f>
        <v>862</v>
      </c>
      <c r="C48" s="4" t="s">
        <v>205</v>
      </c>
      <c r="D48" s="214">
        <f>SUM(E48:AU48)</f>
        <v>862</v>
      </c>
      <c r="E48" s="202">
        <v>0</v>
      </c>
      <c r="F48" s="202">
        <v>0</v>
      </c>
      <c r="G48" s="202">
        <v>0</v>
      </c>
      <c r="H48" s="202">
        <v>0</v>
      </c>
      <c r="I48" s="202">
        <v>0</v>
      </c>
      <c r="J48" s="202">
        <v>0</v>
      </c>
      <c r="K48" s="202">
        <v>0</v>
      </c>
      <c r="L48" s="202">
        <v>16</v>
      </c>
      <c r="M48" s="202">
        <v>18</v>
      </c>
      <c r="N48" s="202">
        <v>19</v>
      </c>
      <c r="O48" s="202">
        <v>21</v>
      </c>
      <c r="P48" s="202">
        <v>37</v>
      </c>
      <c r="Q48" s="202">
        <v>40</v>
      </c>
      <c r="R48" s="202">
        <v>44</v>
      </c>
      <c r="S48" s="202">
        <v>47</v>
      </c>
      <c r="T48" s="202">
        <v>56</v>
      </c>
      <c r="U48" s="202">
        <v>60</v>
      </c>
      <c r="V48" s="202">
        <v>64</v>
      </c>
      <c r="W48" s="202">
        <v>69</v>
      </c>
      <c r="X48" s="202">
        <v>78</v>
      </c>
      <c r="Y48" s="202">
        <v>45</v>
      </c>
      <c r="Z48" s="202">
        <v>30</v>
      </c>
      <c r="AA48" s="202">
        <v>41</v>
      </c>
      <c r="AB48" s="202">
        <v>34</v>
      </c>
      <c r="AC48" s="202">
        <v>36</v>
      </c>
      <c r="AD48" s="202">
        <v>38</v>
      </c>
      <c r="AE48" s="202">
        <v>39</v>
      </c>
      <c r="AF48" s="202">
        <v>19</v>
      </c>
      <c r="AG48" s="202">
        <v>11</v>
      </c>
      <c r="AH48" s="202">
        <v>0</v>
      </c>
      <c r="AI48" s="202">
        <v>0</v>
      </c>
      <c r="AJ48" s="202">
        <v>0</v>
      </c>
      <c r="AK48" s="202">
        <v>0</v>
      </c>
      <c r="AL48" s="202">
        <v>0</v>
      </c>
      <c r="AM48" s="202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2:41" ht="15" x14ac:dyDescent="0.2">
      <c r="B49" s="212">
        <f>F16</f>
        <v>35294.590000000004</v>
      </c>
      <c r="C49" s="4" t="s">
        <v>206</v>
      </c>
      <c r="D49" s="215">
        <f>SUM(E49:S49)</f>
        <v>9908.69</v>
      </c>
      <c r="E49" s="136">
        <f t="shared" ref="E49:AM49" si="186">E48*$B$47</f>
        <v>0</v>
      </c>
      <c r="F49" s="136">
        <f t="shared" si="186"/>
        <v>0</v>
      </c>
      <c r="G49" s="136">
        <f t="shared" si="186"/>
        <v>0</v>
      </c>
      <c r="H49" s="136">
        <f t="shared" si="186"/>
        <v>0</v>
      </c>
      <c r="I49" s="136">
        <f t="shared" si="186"/>
        <v>0</v>
      </c>
      <c r="J49" s="136">
        <f t="shared" si="186"/>
        <v>0</v>
      </c>
      <c r="K49" s="136">
        <f t="shared" si="186"/>
        <v>0</v>
      </c>
      <c r="L49" s="136">
        <f>L48*$B$47</f>
        <v>655.12</v>
      </c>
      <c r="M49" s="136">
        <f t="shared" si="186"/>
        <v>737.01</v>
      </c>
      <c r="N49" s="136">
        <f t="shared" si="186"/>
        <v>777.95500000000004</v>
      </c>
      <c r="O49" s="136">
        <f t="shared" si="186"/>
        <v>859.84500000000003</v>
      </c>
      <c r="P49" s="136">
        <f t="shared" si="186"/>
        <v>1514.9649999999999</v>
      </c>
      <c r="Q49" s="136">
        <f t="shared" si="186"/>
        <v>1637.8</v>
      </c>
      <c r="R49" s="136">
        <f t="shared" si="186"/>
        <v>1801.58</v>
      </c>
      <c r="S49" s="136">
        <f t="shared" si="186"/>
        <v>1924.415</v>
      </c>
      <c r="T49" s="136">
        <f t="shared" si="186"/>
        <v>2292.92</v>
      </c>
      <c r="U49" s="136">
        <f t="shared" si="186"/>
        <v>2456.6999999999998</v>
      </c>
      <c r="V49" s="136">
        <f t="shared" si="186"/>
        <v>2620.48</v>
      </c>
      <c r="W49" s="136">
        <f t="shared" si="186"/>
        <v>2825.2049999999999</v>
      </c>
      <c r="X49" s="136">
        <f t="shared" si="186"/>
        <v>3193.71</v>
      </c>
      <c r="Y49" s="136">
        <f t="shared" si="186"/>
        <v>1842.5250000000001</v>
      </c>
      <c r="Z49" s="136">
        <f t="shared" si="186"/>
        <v>1228.3499999999999</v>
      </c>
      <c r="AA49" s="136">
        <f t="shared" si="186"/>
        <v>1678.7450000000001</v>
      </c>
      <c r="AB49" s="136">
        <f t="shared" si="186"/>
        <v>1392.13</v>
      </c>
      <c r="AC49" s="136">
        <f t="shared" si="186"/>
        <v>1474.02</v>
      </c>
      <c r="AD49" s="136">
        <f t="shared" si="186"/>
        <v>1555.91</v>
      </c>
      <c r="AE49" s="136">
        <f t="shared" si="186"/>
        <v>1596.855</v>
      </c>
      <c r="AF49" s="136">
        <f t="shared" si="186"/>
        <v>777.95500000000004</v>
      </c>
      <c r="AG49" s="136">
        <f t="shared" si="186"/>
        <v>450.39499999999998</v>
      </c>
      <c r="AH49" s="136">
        <f t="shared" si="186"/>
        <v>0</v>
      </c>
      <c r="AI49" s="136">
        <f t="shared" si="186"/>
        <v>0</v>
      </c>
      <c r="AJ49" s="136">
        <f t="shared" si="186"/>
        <v>0</v>
      </c>
      <c r="AK49" s="136">
        <f t="shared" si="186"/>
        <v>0</v>
      </c>
      <c r="AL49" s="136">
        <f t="shared" si="186"/>
        <v>0</v>
      </c>
      <c r="AM49" s="136">
        <f t="shared" si="186"/>
        <v>0</v>
      </c>
    </row>
    <row r="50" spans="2:41" ht="15" x14ac:dyDescent="0.2">
      <c r="B50" s="213"/>
      <c r="C50" s="4" t="s">
        <v>61</v>
      </c>
      <c r="D50" s="216">
        <f>SUM(E50:T50)</f>
        <v>0.32</v>
      </c>
      <c r="E50" s="268">
        <v>0.02</v>
      </c>
      <c r="F50" s="138">
        <f>E50</f>
        <v>0.02</v>
      </c>
      <c r="G50" s="138">
        <f t="shared" ref="G50:T50" si="187">F50</f>
        <v>0.02</v>
      </c>
      <c r="H50" s="138">
        <f t="shared" si="187"/>
        <v>0.02</v>
      </c>
      <c r="I50" s="138">
        <f t="shared" si="187"/>
        <v>0.02</v>
      </c>
      <c r="J50" s="138">
        <f t="shared" si="187"/>
        <v>0.02</v>
      </c>
      <c r="K50" s="138">
        <f t="shared" si="187"/>
        <v>0.02</v>
      </c>
      <c r="L50" s="138">
        <f t="shared" si="187"/>
        <v>0.02</v>
      </c>
      <c r="M50" s="138">
        <f t="shared" si="187"/>
        <v>0.02</v>
      </c>
      <c r="N50" s="138">
        <f t="shared" si="187"/>
        <v>0.02</v>
      </c>
      <c r="O50" s="138">
        <f t="shared" si="187"/>
        <v>0.02</v>
      </c>
      <c r="P50" s="138">
        <f t="shared" si="187"/>
        <v>0.02</v>
      </c>
      <c r="Q50" s="138">
        <f t="shared" si="187"/>
        <v>0.02</v>
      </c>
      <c r="R50" s="138">
        <f t="shared" si="187"/>
        <v>0.02</v>
      </c>
      <c r="S50" s="138">
        <f t="shared" si="187"/>
        <v>0.02</v>
      </c>
      <c r="T50" s="138">
        <f t="shared" si="187"/>
        <v>0.02</v>
      </c>
      <c r="U50" s="138">
        <f t="shared" ref="U50" si="188">T50</f>
        <v>0.02</v>
      </c>
      <c r="V50" s="138">
        <f t="shared" ref="V50" si="189">U50</f>
        <v>0.02</v>
      </c>
      <c r="W50" s="138">
        <f t="shared" ref="W50" si="190">V50</f>
        <v>0.02</v>
      </c>
      <c r="X50" s="138">
        <f t="shared" ref="X50" si="191">W50</f>
        <v>0.02</v>
      </c>
      <c r="Y50" s="138">
        <f t="shared" ref="Y50" si="192">X50</f>
        <v>0.02</v>
      </c>
      <c r="Z50" s="138">
        <f t="shared" ref="Z50" si="193">Y50</f>
        <v>0.02</v>
      </c>
      <c r="AA50" s="138">
        <f t="shared" ref="AA50" si="194">Z50</f>
        <v>0.02</v>
      </c>
      <c r="AB50" s="138">
        <f t="shared" ref="AB50" si="195">AA50</f>
        <v>0.02</v>
      </c>
      <c r="AC50" s="138">
        <f t="shared" ref="AC50" si="196">AB50</f>
        <v>0.02</v>
      </c>
      <c r="AD50" s="138">
        <f t="shared" ref="AD50" si="197">AC50</f>
        <v>0.02</v>
      </c>
      <c r="AE50" s="138">
        <f t="shared" ref="AE50" si="198">AD50</f>
        <v>0.02</v>
      </c>
      <c r="AF50" s="138">
        <f t="shared" ref="AF50" si="199">AE50</f>
        <v>0.02</v>
      </c>
      <c r="AG50" s="138">
        <f t="shared" ref="AG50" si="200">AF50</f>
        <v>0.02</v>
      </c>
      <c r="AH50" s="138">
        <f t="shared" ref="AH50" si="201">AG50</f>
        <v>0.02</v>
      </c>
      <c r="AI50" s="138">
        <f t="shared" ref="AI50" si="202">AH50</f>
        <v>0.02</v>
      </c>
      <c r="AJ50" s="138">
        <f t="shared" ref="AJ50" si="203">AI50</f>
        <v>0.02</v>
      </c>
      <c r="AK50" s="138">
        <f t="shared" ref="AK50" si="204">AJ50</f>
        <v>0.02</v>
      </c>
      <c r="AL50" s="138">
        <f t="shared" ref="AL50" si="205">AK50</f>
        <v>0.02</v>
      </c>
      <c r="AM50" s="138">
        <f t="shared" ref="AM50" si="206">AL50</f>
        <v>0.02</v>
      </c>
    </row>
    <row r="51" spans="2:41" ht="15" x14ac:dyDescent="0.2">
      <c r="B51" s="337">
        <f>H16</f>
        <v>270000</v>
      </c>
      <c r="C51" s="4" t="s">
        <v>132</v>
      </c>
      <c r="D51" s="217">
        <f>AVERAGE(E51:S51)</f>
        <v>311281.50449171662</v>
      </c>
      <c r="E51" s="136">
        <f>B51</f>
        <v>270000</v>
      </c>
      <c r="F51" s="136">
        <f>E51+E51*E50</f>
        <v>275400</v>
      </c>
      <c r="G51" s="136">
        <f t="shared" ref="G51:S51" si="207">F51+F51*F50</f>
        <v>280908</v>
      </c>
      <c r="H51" s="136">
        <f t="shared" si="207"/>
        <v>286526.15999999997</v>
      </c>
      <c r="I51" s="136">
        <f t="shared" si="207"/>
        <v>292256.68319999997</v>
      </c>
      <c r="J51" s="136">
        <f t="shared" si="207"/>
        <v>298101.81686399999</v>
      </c>
      <c r="K51" s="136">
        <f t="shared" si="207"/>
        <v>304063.85320128</v>
      </c>
      <c r="L51" s="136">
        <f t="shared" si="207"/>
        <v>310145.13026530558</v>
      </c>
      <c r="M51" s="136">
        <f t="shared" si="207"/>
        <v>316348.0328706117</v>
      </c>
      <c r="N51" s="136">
        <f t="shared" si="207"/>
        <v>322674.99352802394</v>
      </c>
      <c r="O51" s="136">
        <f t="shared" si="207"/>
        <v>329128.49339858443</v>
      </c>
      <c r="P51" s="136">
        <f t="shared" si="207"/>
        <v>335711.06326655613</v>
      </c>
      <c r="Q51" s="136">
        <f t="shared" si="207"/>
        <v>342425.28453188727</v>
      </c>
      <c r="R51" s="136">
        <f t="shared" si="207"/>
        <v>349273.79022252501</v>
      </c>
      <c r="S51" s="136">
        <f t="shared" si="207"/>
        <v>356259.26602697553</v>
      </c>
      <c r="T51" s="136">
        <f t="shared" ref="T51" si="208">S51+S51*S50</f>
        <v>363384.45134751505</v>
      </c>
      <c r="U51" s="136">
        <f t="shared" ref="U51" si="209">T51+T51*T50</f>
        <v>370652.14037446532</v>
      </c>
      <c r="V51" s="136">
        <f t="shared" ref="V51" si="210">U51+U51*U50</f>
        <v>378065.18318195461</v>
      </c>
      <c r="W51" s="136">
        <f t="shared" ref="W51" si="211">V51+V51*V50</f>
        <v>385626.48684559372</v>
      </c>
      <c r="X51" s="136">
        <f t="shared" ref="X51" si="212">W51+W51*W50</f>
        <v>393339.0165825056</v>
      </c>
      <c r="Y51" s="136">
        <f t="shared" ref="Y51" si="213">X51+X51*X50</f>
        <v>401205.79691415571</v>
      </c>
      <c r="Z51" s="136">
        <f t="shared" ref="Z51" si="214">Y51+Y51*Y50</f>
        <v>409229.91285243881</v>
      </c>
      <c r="AA51" s="136">
        <f t="shared" ref="AA51" si="215">Z51+Z51*Z50</f>
        <v>417414.51110948756</v>
      </c>
      <c r="AB51" s="136">
        <f t="shared" ref="AB51" si="216">AA51+AA51*AA50</f>
        <v>425762.8013316773</v>
      </c>
      <c r="AC51" s="136">
        <f t="shared" ref="AC51" si="217">AB51+AB51*AB50</f>
        <v>434278.05735831085</v>
      </c>
      <c r="AD51" s="136">
        <f t="shared" ref="AD51" si="218">AC51+AC51*AC50</f>
        <v>442963.61850547709</v>
      </c>
      <c r="AE51" s="136">
        <f t="shared" ref="AE51" si="219">AD51+AD51*AD50</f>
        <v>451822.89087558666</v>
      </c>
      <c r="AF51" s="136">
        <f t="shared" ref="AF51" si="220">AE51+AE51*AE50</f>
        <v>460859.34869309841</v>
      </c>
      <c r="AG51" s="136">
        <f t="shared" ref="AG51" si="221">AF51+AF51*AF50</f>
        <v>470076.53566696035</v>
      </c>
      <c r="AH51" s="136"/>
      <c r="AI51" s="136"/>
      <c r="AJ51" s="136"/>
      <c r="AK51" s="136"/>
      <c r="AL51" s="136"/>
      <c r="AM51" s="136"/>
    </row>
    <row r="52" spans="2:41" ht="15.75" x14ac:dyDescent="0.25">
      <c r="C52" s="31" t="str">
        <f>C17</f>
        <v>Прочие помещения</v>
      </c>
      <c r="D52" s="214">
        <f>SUM(E52:AU52)</f>
        <v>0</v>
      </c>
      <c r="E52" s="202">
        <f>E56*E54</f>
        <v>0</v>
      </c>
      <c r="F52" s="202">
        <f t="shared" ref="F52:S52" si="222">F56*F54</f>
        <v>0</v>
      </c>
      <c r="G52" s="202">
        <f t="shared" si="222"/>
        <v>0</v>
      </c>
      <c r="H52" s="202">
        <f t="shared" si="222"/>
        <v>0</v>
      </c>
      <c r="I52" s="202">
        <f t="shared" si="222"/>
        <v>0</v>
      </c>
      <c r="J52" s="202">
        <f t="shared" si="222"/>
        <v>0</v>
      </c>
      <c r="K52" s="202">
        <f t="shared" si="222"/>
        <v>0</v>
      </c>
      <c r="L52" s="202">
        <f t="shared" si="222"/>
        <v>0</v>
      </c>
      <c r="M52" s="202">
        <f t="shared" si="222"/>
        <v>0</v>
      </c>
      <c r="N52" s="202">
        <f t="shared" si="222"/>
        <v>0</v>
      </c>
      <c r="O52" s="202">
        <f t="shared" si="222"/>
        <v>0</v>
      </c>
      <c r="P52" s="202">
        <f t="shared" si="222"/>
        <v>0</v>
      </c>
      <c r="Q52" s="202">
        <f t="shared" si="222"/>
        <v>0</v>
      </c>
      <c r="R52" s="202">
        <f t="shared" si="222"/>
        <v>0</v>
      </c>
      <c r="S52" s="202">
        <f t="shared" si="222"/>
        <v>0</v>
      </c>
      <c r="T52" s="202">
        <f t="shared" ref="T52:AM52" si="223">T56*T54</f>
        <v>0</v>
      </c>
      <c r="U52" s="202">
        <f t="shared" si="223"/>
        <v>0</v>
      </c>
      <c r="V52" s="202">
        <f t="shared" si="223"/>
        <v>0</v>
      </c>
      <c r="W52" s="202">
        <f t="shared" si="223"/>
        <v>0</v>
      </c>
      <c r="X52" s="202">
        <f t="shared" si="223"/>
        <v>0</v>
      </c>
      <c r="Y52" s="202">
        <f t="shared" si="223"/>
        <v>0</v>
      </c>
      <c r="Z52" s="202">
        <f t="shared" si="223"/>
        <v>0</v>
      </c>
      <c r="AA52" s="202">
        <f t="shared" si="223"/>
        <v>0</v>
      </c>
      <c r="AB52" s="202">
        <f t="shared" si="223"/>
        <v>0</v>
      </c>
      <c r="AC52" s="202">
        <f t="shared" si="223"/>
        <v>0</v>
      </c>
      <c r="AD52" s="202">
        <f t="shared" si="223"/>
        <v>0</v>
      </c>
      <c r="AE52" s="202">
        <f t="shared" si="223"/>
        <v>0</v>
      </c>
      <c r="AF52" s="202">
        <f t="shared" si="223"/>
        <v>0</v>
      </c>
      <c r="AG52" s="202">
        <f t="shared" si="223"/>
        <v>0</v>
      </c>
      <c r="AH52" s="202">
        <f t="shared" si="223"/>
        <v>0</v>
      </c>
      <c r="AI52" s="202">
        <f t="shared" si="223"/>
        <v>0</v>
      </c>
      <c r="AJ52" s="202">
        <f t="shared" si="223"/>
        <v>0</v>
      </c>
      <c r="AK52" s="202">
        <f t="shared" si="223"/>
        <v>0</v>
      </c>
      <c r="AL52" s="202">
        <f t="shared" si="223"/>
        <v>0</v>
      </c>
      <c r="AM52" s="202">
        <f t="shared" si="223"/>
        <v>0</v>
      </c>
    </row>
    <row r="53" spans="2:41" ht="15.75" x14ac:dyDescent="0.25">
      <c r="B53" s="209">
        <f>G17</f>
        <v>0</v>
      </c>
      <c r="C53" s="4" t="s">
        <v>205</v>
      </c>
      <c r="D53" s="214">
        <f>SUM(E53:AU53)</f>
        <v>0</v>
      </c>
      <c r="E53" s="136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</row>
    <row r="54" spans="2:41" ht="15" x14ac:dyDescent="0.2">
      <c r="B54" s="211">
        <f>F17</f>
        <v>0</v>
      </c>
      <c r="C54" s="4" t="s">
        <v>206</v>
      </c>
      <c r="D54" s="215">
        <f>SUM(E54:S54)</f>
        <v>0</v>
      </c>
      <c r="E54" s="136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</row>
    <row r="55" spans="2:41" ht="15" x14ac:dyDescent="0.2">
      <c r="B55" s="211"/>
      <c r="C55" s="4" t="s">
        <v>61</v>
      </c>
      <c r="D55" s="216">
        <f>SUM(E55:T55)</f>
        <v>0.32</v>
      </c>
      <c r="E55" s="268">
        <v>0.02</v>
      </c>
      <c r="F55" s="138">
        <f>E55</f>
        <v>0.02</v>
      </c>
      <c r="G55" s="138">
        <f>F55</f>
        <v>0.02</v>
      </c>
      <c r="H55" s="138">
        <f t="shared" ref="H55:T55" si="224">G55</f>
        <v>0.02</v>
      </c>
      <c r="I55" s="138">
        <f t="shared" si="224"/>
        <v>0.02</v>
      </c>
      <c r="J55" s="138">
        <f t="shared" si="224"/>
        <v>0.02</v>
      </c>
      <c r="K55" s="138">
        <f t="shared" si="224"/>
        <v>0.02</v>
      </c>
      <c r="L55" s="138">
        <f t="shared" si="224"/>
        <v>0.02</v>
      </c>
      <c r="M55" s="138">
        <f t="shared" si="224"/>
        <v>0.02</v>
      </c>
      <c r="N55" s="138">
        <f t="shared" si="224"/>
        <v>0.02</v>
      </c>
      <c r="O55" s="138">
        <f t="shared" si="224"/>
        <v>0.02</v>
      </c>
      <c r="P55" s="138">
        <f t="shared" si="224"/>
        <v>0.02</v>
      </c>
      <c r="Q55" s="138">
        <f t="shared" si="224"/>
        <v>0.02</v>
      </c>
      <c r="R55" s="138">
        <f t="shared" si="224"/>
        <v>0.02</v>
      </c>
      <c r="S55" s="138">
        <f t="shared" si="224"/>
        <v>0.02</v>
      </c>
      <c r="T55" s="138">
        <f t="shared" si="224"/>
        <v>0.02</v>
      </c>
      <c r="U55" s="138">
        <v>2.02</v>
      </c>
      <c r="V55" s="138">
        <v>3.02</v>
      </c>
      <c r="W55" s="138">
        <v>4.0199999999999996</v>
      </c>
      <c r="X55" s="138">
        <v>5.0199999999999996</v>
      </c>
      <c r="Y55" s="138">
        <v>6.02</v>
      </c>
      <c r="Z55" s="138">
        <v>7.02</v>
      </c>
      <c r="AA55" s="138">
        <v>8.02</v>
      </c>
      <c r="AB55" s="138">
        <v>9.02</v>
      </c>
      <c r="AC55" s="138">
        <v>10.02</v>
      </c>
      <c r="AD55" s="138">
        <v>11.02</v>
      </c>
      <c r="AE55" s="138">
        <v>12.02</v>
      </c>
      <c r="AF55" s="138">
        <v>13.02</v>
      </c>
      <c r="AG55" s="138">
        <v>14.02</v>
      </c>
      <c r="AH55" s="138">
        <v>15.02</v>
      </c>
      <c r="AI55" s="138">
        <v>16.02</v>
      </c>
      <c r="AJ55" s="138">
        <v>17.02</v>
      </c>
      <c r="AK55" s="138">
        <v>18.02</v>
      </c>
      <c r="AL55" s="138">
        <v>19.02</v>
      </c>
      <c r="AM55" s="138">
        <v>20.02</v>
      </c>
    </row>
    <row r="56" spans="2:41" ht="15" x14ac:dyDescent="0.2">
      <c r="B56" s="211">
        <f>H17</f>
        <v>0</v>
      </c>
      <c r="C56" s="4" t="s">
        <v>132</v>
      </c>
      <c r="D56" s="339">
        <f>AVERAGE(E56:S56)</f>
        <v>0</v>
      </c>
      <c r="E56" s="136">
        <f>B56</f>
        <v>0</v>
      </c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</row>
    <row r="58" spans="2:41" ht="15" x14ac:dyDescent="0.2">
      <c r="C58" s="4" t="s">
        <v>299</v>
      </c>
      <c r="E58" s="136">
        <f t="shared" ref="E58:AM58" si="225">AVERAGE(E31,E36,E41)</f>
        <v>497703</v>
      </c>
      <c r="F58" s="136">
        <f t="shared" si="225"/>
        <v>507657.06</v>
      </c>
      <c r="G58" s="136">
        <f t="shared" si="225"/>
        <v>517810.20120000001</v>
      </c>
      <c r="H58" s="136">
        <f t="shared" si="225"/>
        <v>528166.40522399999</v>
      </c>
      <c r="I58" s="136">
        <f t="shared" si="225"/>
        <v>538729.73332848004</v>
      </c>
      <c r="J58" s="136">
        <f t="shared" si="225"/>
        <v>549504.32799504965</v>
      </c>
      <c r="K58" s="136">
        <f t="shared" si="225"/>
        <v>560494.41455495066</v>
      </c>
      <c r="L58" s="136">
        <f t="shared" si="225"/>
        <v>571704.30284604966</v>
      </c>
      <c r="M58" s="136">
        <f t="shared" si="225"/>
        <v>583138.38890297071</v>
      </c>
      <c r="N58" s="136">
        <f t="shared" si="225"/>
        <v>594801.15668103017</v>
      </c>
      <c r="O58" s="136">
        <f t="shared" si="225"/>
        <v>606697.17981465079</v>
      </c>
      <c r="P58" s="136">
        <f t="shared" si="225"/>
        <v>618831.12341094378</v>
      </c>
      <c r="Q58" s="136">
        <f t="shared" si="225"/>
        <v>631207.74587916269</v>
      </c>
      <c r="R58" s="136">
        <f t="shared" si="225"/>
        <v>643831.9007967459</v>
      </c>
      <c r="S58" s="136">
        <f t="shared" si="225"/>
        <v>656708.53881268087</v>
      </c>
      <c r="T58" s="136">
        <f t="shared" si="225"/>
        <v>669842.70958893443</v>
      </c>
      <c r="U58" s="136">
        <f t="shared" si="225"/>
        <v>683239.56378071313</v>
      </c>
      <c r="V58" s="136">
        <f t="shared" si="225"/>
        <v>696904.35505632742</v>
      </c>
      <c r="W58" s="136">
        <f t="shared" si="225"/>
        <v>710842.44215745397</v>
      </c>
      <c r="X58" s="136">
        <f t="shared" si="225"/>
        <v>725059.29100060312</v>
      </c>
      <c r="Y58" s="136">
        <f t="shared" si="225"/>
        <v>739560.476820615</v>
      </c>
      <c r="Z58" s="136">
        <f t="shared" si="225"/>
        <v>754351.68635702727</v>
      </c>
      <c r="AA58" s="136">
        <f t="shared" si="225"/>
        <v>769438.72008416767</v>
      </c>
      <c r="AB58" s="136">
        <f t="shared" si="225"/>
        <v>784827.49448585103</v>
      </c>
      <c r="AC58" s="136">
        <f t="shared" si="225"/>
        <v>800524.04437556816</v>
      </c>
      <c r="AD58" s="136">
        <f t="shared" si="225"/>
        <v>816534.52526307956</v>
      </c>
      <c r="AE58" s="136">
        <f t="shared" si="225"/>
        <v>832865.21576834132</v>
      </c>
      <c r="AF58" s="136">
        <f t="shared" si="225"/>
        <v>849522.52008370811</v>
      </c>
      <c r="AG58" s="136">
        <f t="shared" si="225"/>
        <v>866512.97048538213</v>
      </c>
      <c r="AH58" s="136">
        <f t="shared" si="225"/>
        <v>883843.22989508975</v>
      </c>
      <c r="AI58" s="136">
        <f t="shared" si="225"/>
        <v>901520.09449299157</v>
      </c>
      <c r="AJ58" s="136">
        <f t="shared" si="225"/>
        <v>919550.4963828515</v>
      </c>
      <c r="AK58" s="136">
        <f t="shared" si="225"/>
        <v>937941.50631050847</v>
      </c>
      <c r="AL58" s="136">
        <f t="shared" si="225"/>
        <v>956700.33643671859</v>
      </c>
      <c r="AM58" s="136">
        <f t="shared" si="225"/>
        <v>975834.34316545294</v>
      </c>
    </row>
    <row r="59" spans="2:41" s="322" customFormat="1" ht="15" x14ac:dyDescent="0.2">
      <c r="B59" s="322">
        <f>B29+B34+B39</f>
        <v>143560.38800000001</v>
      </c>
      <c r="C59" s="330" t="s">
        <v>296</v>
      </c>
      <c r="E59" s="406">
        <f>E29+E34+E39</f>
        <v>8407.4160000000011</v>
      </c>
      <c r="F59" s="406">
        <f t="shared" ref="F59:AG59" si="226">F29+F34+F39</f>
        <v>2614.8339999999998</v>
      </c>
      <c r="G59" s="406">
        <f t="shared" si="226"/>
        <v>1758.9580000000001</v>
      </c>
      <c r="H59" s="406">
        <f t="shared" si="226"/>
        <v>2169.3420000000001</v>
      </c>
      <c r="I59" s="406">
        <f t="shared" si="226"/>
        <v>1794.0659999999998</v>
      </c>
      <c r="J59" s="406">
        <f t="shared" si="226"/>
        <v>4561.43</v>
      </c>
      <c r="K59" s="406">
        <f t="shared" si="226"/>
        <v>5321.6679999999997</v>
      </c>
      <c r="L59" s="406">
        <f t="shared" si="226"/>
        <v>5980.22</v>
      </c>
      <c r="M59" s="406">
        <f t="shared" si="226"/>
        <v>6263.4960000000001</v>
      </c>
      <c r="N59" s="406">
        <f t="shared" si="226"/>
        <v>5286.5599999999995</v>
      </c>
      <c r="O59" s="406">
        <f t="shared" si="226"/>
        <v>6167.8580000000002</v>
      </c>
      <c r="P59" s="406">
        <f t="shared" si="226"/>
        <v>6550.41</v>
      </c>
      <c r="Q59" s="406">
        <f t="shared" si="226"/>
        <v>6861.518</v>
      </c>
      <c r="R59" s="406">
        <f t="shared" si="226"/>
        <v>7080.6260000000002</v>
      </c>
      <c r="S59" s="406">
        <f t="shared" si="226"/>
        <v>6683.5659999999998</v>
      </c>
      <c r="T59" s="406">
        <f t="shared" si="226"/>
        <v>6892.9879999999994</v>
      </c>
      <c r="U59" s="406">
        <f t="shared" si="226"/>
        <v>6892.9879999999994</v>
      </c>
      <c r="V59" s="406">
        <f t="shared" si="226"/>
        <v>6670.2420000000002</v>
      </c>
      <c r="W59" s="406">
        <f t="shared" si="226"/>
        <v>6543.134</v>
      </c>
      <c r="X59" s="406">
        <f t="shared" si="226"/>
        <v>6167.8580000000002</v>
      </c>
      <c r="Y59" s="406">
        <f t="shared" si="226"/>
        <v>5006.9219999999996</v>
      </c>
      <c r="Z59" s="406">
        <f t="shared" si="226"/>
        <v>5006.9219999999996</v>
      </c>
      <c r="AA59" s="406">
        <f t="shared" si="226"/>
        <v>4408.8999999999996</v>
      </c>
      <c r="AB59" s="406">
        <f t="shared" si="226"/>
        <v>4151.0460000000003</v>
      </c>
      <c r="AC59" s="406">
        <f t="shared" si="226"/>
        <v>4151.0460000000003</v>
      </c>
      <c r="AD59" s="406">
        <f t="shared" si="226"/>
        <v>4151.0460000000003</v>
      </c>
      <c r="AE59" s="406">
        <f t="shared" si="226"/>
        <v>2802.4719999999998</v>
      </c>
      <c r="AF59" s="406">
        <f t="shared" si="226"/>
        <v>2427.1959999999999</v>
      </c>
      <c r="AG59" s="406">
        <f t="shared" si="226"/>
        <v>785.66</v>
      </c>
      <c r="AH59" s="323">
        <f t="shared" ref="AH59:AO59" si="227">AH29+AH34+AH39</f>
        <v>0</v>
      </c>
      <c r="AI59" s="323">
        <f t="shared" si="227"/>
        <v>0</v>
      </c>
      <c r="AJ59" s="323">
        <f t="shared" si="227"/>
        <v>0</v>
      </c>
      <c r="AK59" s="323">
        <f t="shared" si="227"/>
        <v>0</v>
      </c>
      <c r="AL59" s="323">
        <f t="shared" si="227"/>
        <v>0</v>
      </c>
      <c r="AM59" s="323">
        <f t="shared" si="227"/>
        <v>0</v>
      </c>
      <c r="AN59" s="323">
        <f t="shared" si="227"/>
        <v>0</v>
      </c>
      <c r="AO59" s="323">
        <f t="shared" si="227"/>
        <v>0</v>
      </c>
    </row>
    <row r="60" spans="2:41" s="322" customFormat="1" x14ac:dyDescent="0.2">
      <c r="C60" s="322" t="s">
        <v>297</v>
      </c>
      <c r="D60" s="323">
        <f>SUM(E60:AO60)</f>
        <v>23797716414.361259</v>
      </c>
      <c r="E60" s="324">
        <f t="shared" ref="E60:AO60" si="228">E47+E52+E42</f>
        <v>0</v>
      </c>
      <c r="F60" s="324">
        <f t="shared" si="228"/>
        <v>0</v>
      </c>
      <c r="G60" s="324">
        <f t="shared" si="228"/>
        <v>0</v>
      </c>
      <c r="H60" s="324">
        <f t="shared" si="228"/>
        <v>0</v>
      </c>
      <c r="I60" s="324">
        <f t="shared" si="228"/>
        <v>0</v>
      </c>
      <c r="J60" s="324">
        <f t="shared" si="228"/>
        <v>0</v>
      </c>
      <c r="K60" s="324">
        <f t="shared" si="228"/>
        <v>0</v>
      </c>
      <c r="L60" s="324">
        <f t="shared" si="228"/>
        <v>203182277.739407</v>
      </c>
      <c r="M60" s="324">
        <f t="shared" si="228"/>
        <v>233151663.70596951</v>
      </c>
      <c r="N60" s="324">
        <f t="shared" si="228"/>
        <v>251026624.59009388</v>
      </c>
      <c r="O60" s="324">
        <f t="shared" si="228"/>
        <v>282999489.40630585</v>
      </c>
      <c r="P60" s="324">
        <f t="shared" si="228"/>
        <v>508590510.96161819</v>
      </c>
      <c r="Q60" s="324">
        <f t="shared" si="228"/>
        <v>560824131.00632501</v>
      </c>
      <c r="R60" s="324">
        <f t="shared" si="228"/>
        <v>766625699.1432898</v>
      </c>
      <c r="S60" s="324">
        <f t="shared" si="228"/>
        <v>825719320.0685792</v>
      </c>
      <c r="T60" s="324">
        <f t="shared" si="228"/>
        <v>1004567433.0191724</v>
      </c>
      <c r="U60" s="324">
        <f t="shared" si="228"/>
        <v>1240049682.4796958</v>
      </c>
      <c r="V60" s="324">
        <f t="shared" si="228"/>
        <v>1326770191.8308303</v>
      </c>
      <c r="W60" s="324">
        <f t="shared" si="228"/>
        <v>1432252978.1869113</v>
      </c>
      <c r="X60" s="324">
        <f t="shared" si="228"/>
        <v>1793074803.9496584</v>
      </c>
      <c r="Y60" s="324">
        <f t="shared" si="228"/>
        <v>1533975816.224318</v>
      </c>
      <c r="Z60" s="324">
        <f t="shared" si="228"/>
        <v>1130436249.7679343</v>
      </c>
      <c r="AA60" s="324">
        <f t="shared" si="228"/>
        <v>1929137050.2575958</v>
      </c>
      <c r="AB60" s="324">
        <f t="shared" si="228"/>
        <v>1627983073.5448046</v>
      </c>
      <c r="AC60" s="324">
        <f t="shared" si="228"/>
        <v>1696105765.1327724</v>
      </c>
      <c r="AD60" s="324">
        <f t="shared" si="228"/>
        <v>1940534527.7669959</v>
      </c>
      <c r="AE60" s="324">
        <f t="shared" si="228"/>
        <v>1486791246.8724682</v>
      </c>
      <c r="AF60" s="324">
        <f t="shared" si="228"/>
        <v>1011104672.3619668</v>
      </c>
      <c r="AG60" s="324">
        <f t="shared" si="228"/>
        <v>396616891.97739172</v>
      </c>
      <c r="AH60" s="324">
        <f t="shared" si="228"/>
        <v>188594706.10958454</v>
      </c>
      <c r="AI60" s="324">
        <f t="shared" si="228"/>
        <v>192366600.23177621</v>
      </c>
      <c r="AJ60" s="324">
        <f t="shared" si="228"/>
        <v>235235008.02579966</v>
      </c>
      <c r="AK60" s="324">
        <f t="shared" si="228"/>
        <v>0</v>
      </c>
      <c r="AL60" s="324">
        <f t="shared" si="228"/>
        <v>0</v>
      </c>
      <c r="AM60" s="324">
        <f t="shared" si="228"/>
        <v>0</v>
      </c>
      <c r="AN60" s="324">
        <f t="shared" si="228"/>
        <v>0</v>
      </c>
      <c r="AO60" s="324">
        <f t="shared" si="228"/>
        <v>0</v>
      </c>
    </row>
    <row r="61" spans="2:41" s="322" customFormat="1" x14ac:dyDescent="0.2">
      <c r="C61" s="322" t="s">
        <v>5</v>
      </c>
      <c r="D61" s="323">
        <f>D60*C62</f>
        <v>5235497611.1594772</v>
      </c>
      <c r="E61" s="324">
        <f>E60*$C$62</f>
        <v>0</v>
      </c>
      <c r="F61" s="324">
        <f t="shared" ref="F61:AM61" si="229">F60*$C$62</f>
        <v>0</v>
      </c>
      <c r="G61" s="324">
        <f t="shared" si="229"/>
        <v>0</v>
      </c>
      <c r="H61" s="324">
        <f t="shared" si="229"/>
        <v>0</v>
      </c>
      <c r="I61" s="324">
        <f t="shared" si="229"/>
        <v>0</v>
      </c>
      <c r="J61" s="324">
        <f t="shared" si="229"/>
        <v>0</v>
      </c>
      <c r="K61" s="324">
        <f t="shared" si="229"/>
        <v>0</v>
      </c>
      <c r="L61" s="324">
        <f t="shared" si="229"/>
        <v>44700101.102669545</v>
      </c>
      <c r="M61" s="324">
        <f t="shared" si="229"/>
        <v>51293366.01531329</v>
      </c>
      <c r="N61" s="324">
        <f t="shared" si="229"/>
        <v>55225857.409820653</v>
      </c>
      <c r="O61" s="324">
        <f t="shared" si="229"/>
        <v>62259887.669387288</v>
      </c>
      <c r="P61" s="324">
        <f t="shared" si="229"/>
        <v>111889912.41155601</v>
      </c>
      <c r="Q61" s="324">
        <f t="shared" si="229"/>
        <v>123381308.82139151</v>
      </c>
      <c r="R61" s="324">
        <f t="shared" si="229"/>
        <v>168657653.81152377</v>
      </c>
      <c r="S61" s="324">
        <f t="shared" si="229"/>
        <v>181658250.41508743</v>
      </c>
      <c r="T61" s="324">
        <f t="shared" si="229"/>
        <v>221004835.26421794</v>
      </c>
      <c r="U61" s="324">
        <f t="shared" si="229"/>
        <v>272810930.14553308</v>
      </c>
      <c r="V61" s="324">
        <f t="shared" si="229"/>
        <v>291889442.20278269</v>
      </c>
      <c r="W61" s="324">
        <f t="shared" si="229"/>
        <v>315095655.2011205</v>
      </c>
      <c r="X61" s="324">
        <f t="shared" si="229"/>
        <v>394476456.86892486</v>
      </c>
      <c r="Y61" s="324">
        <f t="shared" si="229"/>
        <v>337474679.56934994</v>
      </c>
      <c r="Z61" s="324">
        <f t="shared" si="229"/>
        <v>248695974.94894555</v>
      </c>
      <c r="AA61" s="324">
        <f t="shared" si="229"/>
        <v>424410151.05667108</v>
      </c>
      <c r="AB61" s="324">
        <f t="shared" si="229"/>
        <v>358156276.17985702</v>
      </c>
      <c r="AC61" s="324">
        <f t="shared" si="229"/>
        <v>373143268.32920992</v>
      </c>
      <c r="AD61" s="324">
        <f t="shared" si="229"/>
        <v>426917596.10873908</v>
      </c>
      <c r="AE61" s="324">
        <f t="shared" si="229"/>
        <v>327094074.31194299</v>
      </c>
      <c r="AF61" s="324">
        <f t="shared" si="229"/>
        <v>222443027.9196327</v>
      </c>
      <c r="AG61" s="324">
        <f t="shared" si="229"/>
        <v>87255716.235026181</v>
      </c>
      <c r="AH61" s="324">
        <f t="shared" si="229"/>
        <v>41490835.344108596</v>
      </c>
      <c r="AI61" s="324">
        <f t="shared" si="229"/>
        <v>42320652.050990768</v>
      </c>
      <c r="AJ61" s="324">
        <f t="shared" si="229"/>
        <v>51751701.765675925</v>
      </c>
      <c r="AK61" s="324">
        <f t="shared" si="229"/>
        <v>0</v>
      </c>
      <c r="AL61" s="324">
        <f t="shared" si="229"/>
        <v>0</v>
      </c>
      <c r="AM61" s="324">
        <f t="shared" si="229"/>
        <v>0</v>
      </c>
    </row>
    <row r="62" spans="2:41" s="322" customFormat="1" x14ac:dyDescent="0.2">
      <c r="C62" s="331">
        <v>0.22</v>
      </c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</row>
    <row r="63" spans="2:41" x14ac:dyDescent="0.2">
      <c r="E63" s="136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</row>
    <row r="65" spans="3:55" ht="15" x14ac:dyDescent="0.2">
      <c r="C65" s="4" t="s">
        <v>300</v>
      </c>
      <c r="D65" s="335">
        <f>AVERAGE(S31,S36,S41)</f>
        <v>656708.53881268087</v>
      </c>
      <c r="E65" s="136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</row>
    <row r="66" spans="3:55" ht="15" x14ac:dyDescent="0.2">
      <c r="C66" s="4" t="s">
        <v>301</v>
      </c>
      <c r="D66" s="335">
        <f>AVERAGE(D31,D36,D41)</f>
        <v>573799.03196311428</v>
      </c>
      <c r="E66" s="136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</row>
    <row r="67" spans="3:55" ht="15" x14ac:dyDescent="0.2">
      <c r="C67" s="4" t="s">
        <v>302</v>
      </c>
      <c r="D67" s="335">
        <f>AVERAGE(E59:S59)</f>
        <v>5166.7978666666668</v>
      </c>
      <c r="E67" s="136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</row>
    <row r="68" spans="3:55" ht="15" x14ac:dyDescent="0.2">
      <c r="C68" s="4"/>
      <c r="E68" s="136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</row>
    <row r="69" spans="3:55" ht="15" x14ac:dyDescent="0.2">
      <c r="C69" s="4"/>
      <c r="E69" s="136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</row>
    <row r="70" spans="3:55" ht="15.75" x14ac:dyDescent="0.25">
      <c r="C70" s="4"/>
      <c r="D70" s="214">
        <f>SUM(E70:AV70)</f>
        <v>10322.408000000003</v>
      </c>
      <c r="E70" s="136">
        <v>0</v>
      </c>
      <c r="F70" s="137">
        <v>0</v>
      </c>
      <c r="G70" s="137">
        <v>0</v>
      </c>
      <c r="H70" s="137">
        <v>0</v>
      </c>
      <c r="I70" s="137">
        <v>0</v>
      </c>
      <c r="J70" s="137">
        <v>0</v>
      </c>
      <c r="K70" s="137">
        <v>0</v>
      </c>
      <c r="L70" s="137">
        <v>0</v>
      </c>
      <c r="M70" s="137">
        <v>0</v>
      </c>
      <c r="N70" s="137">
        <v>0</v>
      </c>
      <c r="O70" s="137">
        <v>0</v>
      </c>
      <c r="P70" s="137">
        <v>0</v>
      </c>
      <c r="Q70" s="137">
        <v>0</v>
      </c>
      <c r="R70" s="137">
        <v>0</v>
      </c>
      <c r="S70" s="137">
        <v>0</v>
      </c>
      <c r="T70" s="137">
        <v>0</v>
      </c>
      <c r="U70">
        <v>400</v>
      </c>
      <c r="V70">
        <v>400</v>
      </c>
      <c r="W70">
        <v>400</v>
      </c>
      <c r="X70">
        <v>614.20000000000005</v>
      </c>
      <c r="Y70">
        <v>891.40000000000009</v>
      </c>
      <c r="Z70">
        <v>690.3</v>
      </c>
      <c r="AA70">
        <v>1324.3</v>
      </c>
      <c r="AB70">
        <v>1094.2</v>
      </c>
      <c r="AC70">
        <v>1094.2</v>
      </c>
      <c r="AD70">
        <v>1271.2</v>
      </c>
      <c r="AE70">
        <v>762.20800000000168</v>
      </c>
      <c r="AF70">
        <v>637.20000000000005</v>
      </c>
      <c r="AG70">
        <v>177</v>
      </c>
      <c r="AH70">
        <v>177</v>
      </c>
      <c r="AI70">
        <v>177</v>
      </c>
      <c r="AJ70">
        <v>212.19999999999982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3:55" x14ac:dyDescent="0.2">
      <c r="D71" s="405">
        <f>D70/$E$15</f>
        <v>129.03010000000003</v>
      </c>
      <c r="E71" s="405">
        <f t="shared" ref="E71:AM71" si="230">E70/$E$15</f>
        <v>0</v>
      </c>
      <c r="F71" s="405">
        <f t="shared" si="230"/>
        <v>0</v>
      </c>
      <c r="G71" s="405">
        <f t="shared" si="230"/>
        <v>0</v>
      </c>
      <c r="H71" s="405">
        <f t="shared" si="230"/>
        <v>0</v>
      </c>
      <c r="I71" s="405">
        <f t="shared" si="230"/>
        <v>0</v>
      </c>
      <c r="J71" s="405">
        <f t="shared" si="230"/>
        <v>0</v>
      </c>
      <c r="K71" s="405">
        <f t="shared" si="230"/>
        <v>0</v>
      </c>
      <c r="L71" s="405">
        <f t="shared" si="230"/>
        <v>0</v>
      </c>
      <c r="M71" s="405">
        <f t="shared" si="230"/>
        <v>0</v>
      </c>
      <c r="N71" s="405">
        <f t="shared" si="230"/>
        <v>0</v>
      </c>
      <c r="O71" s="405">
        <f t="shared" si="230"/>
        <v>0</v>
      </c>
      <c r="P71" s="405">
        <f t="shared" si="230"/>
        <v>0</v>
      </c>
      <c r="Q71" s="405">
        <f t="shared" si="230"/>
        <v>0</v>
      </c>
      <c r="R71" s="405">
        <f t="shared" si="230"/>
        <v>0</v>
      </c>
      <c r="S71" s="405">
        <f t="shared" si="230"/>
        <v>0</v>
      </c>
      <c r="T71" s="405">
        <f t="shared" si="230"/>
        <v>0</v>
      </c>
      <c r="U71" s="405">
        <f t="shared" si="230"/>
        <v>5</v>
      </c>
      <c r="V71" s="405">
        <f t="shared" si="230"/>
        <v>5</v>
      </c>
      <c r="W71" s="405">
        <f t="shared" si="230"/>
        <v>5</v>
      </c>
      <c r="X71" s="405">
        <f t="shared" si="230"/>
        <v>7.6775000000000002</v>
      </c>
      <c r="Y71" s="405">
        <f t="shared" si="230"/>
        <v>11.142500000000002</v>
      </c>
      <c r="Z71" s="405">
        <f t="shared" si="230"/>
        <v>8.6287500000000001</v>
      </c>
      <c r="AA71" s="405">
        <f t="shared" si="230"/>
        <v>16.553750000000001</v>
      </c>
      <c r="AB71" s="405">
        <f t="shared" si="230"/>
        <v>13.6775</v>
      </c>
      <c r="AC71" s="405">
        <f t="shared" si="230"/>
        <v>13.6775</v>
      </c>
      <c r="AD71" s="405">
        <f t="shared" si="230"/>
        <v>15.89</v>
      </c>
      <c r="AE71" s="405">
        <f t="shared" si="230"/>
        <v>9.5276000000000209</v>
      </c>
      <c r="AF71" s="405">
        <f t="shared" si="230"/>
        <v>7.9650000000000007</v>
      </c>
      <c r="AG71" s="405">
        <f t="shared" si="230"/>
        <v>2.2124999999999999</v>
      </c>
      <c r="AH71" s="405">
        <f t="shared" si="230"/>
        <v>2.2124999999999999</v>
      </c>
      <c r="AI71" s="405">
        <f t="shared" si="230"/>
        <v>2.2124999999999999</v>
      </c>
      <c r="AJ71" s="405">
        <f t="shared" si="230"/>
        <v>2.6524999999999976</v>
      </c>
      <c r="AK71" s="405">
        <f t="shared" si="230"/>
        <v>0</v>
      </c>
      <c r="AL71" s="405">
        <f t="shared" si="230"/>
        <v>0</v>
      </c>
      <c r="AM71" s="405">
        <f t="shared" si="230"/>
        <v>0</v>
      </c>
    </row>
    <row r="72" spans="3:55" x14ac:dyDescent="0.2">
      <c r="E72" s="136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</row>
    <row r="73" spans="3:55" x14ac:dyDescent="0.2">
      <c r="E73" s="136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</row>
    <row r="74" spans="3:55" x14ac:dyDescent="0.2">
      <c r="E74" s="136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</row>
    <row r="75" spans="3:55" x14ac:dyDescent="0.2">
      <c r="E75" s="136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</row>
    <row r="76" spans="3:55" x14ac:dyDescent="0.2">
      <c r="E76" s="136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</row>
    <row r="77" spans="3:55" x14ac:dyDescent="0.2">
      <c r="E77" s="136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</row>
    <row r="78" spans="3:55" x14ac:dyDescent="0.2">
      <c r="E78" s="136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</row>
    <row r="79" spans="3:55" x14ac:dyDescent="0.2">
      <c r="E79" s="136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</row>
    <row r="80" spans="3:55" x14ac:dyDescent="0.2">
      <c r="E80" s="136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</row>
    <row r="81" spans="5:20" x14ac:dyDescent="0.2">
      <c r="E81" s="136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</row>
    <row r="82" spans="5:20" x14ac:dyDescent="0.2">
      <c r="E82" s="136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</row>
    <row r="83" spans="5:20" x14ac:dyDescent="0.2">
      <c r="E83" s="136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</row>
    <row r="84" spans="5:20" x14ac:dyDescent="0.2">
      <c r="E84" s="136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</row>
    <row r="85" spans="5:20" x14ac:dyDescent="0.2">
      <c r="E85" s="136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</row>
    <row r="86" spans="5:20" x14ac:dyDescent="0.2">
      <c r="E86" s="136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</row>
    <row r="87" spans="5:20" x14ac:dyDescent="0.2">
      <c r="E87" s="136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</row>
    <row r="88" spans="5:20" x14ac:dyDescent="0.2">
      <c r="E88" s="136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</row>
    <row r="89" spans="5:20" x14ac:dyDescent="0.2">
      <c r="E89" s="136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</row>
    <row r="90" spans="5:20" x14ac:dyDescent="0.2">
      <c r="E90" s="136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</row>
    <row r="91" spans="5:20" x14ac:dyDescent="0.2">
      <c r="E91" s="136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</row>
    <row r="92" spans="5:20" x14ac:dyDescent="0.2">
      <c r="E92" s="136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</row>
    <row r="93" spans="5:20" x14ac:dyDescent="0.2">
      <c r="E93" s="136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</row>
    <row r="94" spans="5:20" x14ac:dyDescent="0.2">
      <c r="E94" s="136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</row>
    <row r="95" spans="5:20" x14ac:dyDescent="0.2">
      <c r="E95" s="136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</row>
    <row r="96" spans="5:20" x14ac:dyDescent="0.2">
      <c r="E96" s="136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</row>
    <row r="97" spans="5:20" x14ac:dyDescent="0.2">
      <c r="E97" s="136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</row>
    <row r="98" spans="5:20" x14ac:dyDescent="0.2">
      <c r="E98" s="136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</row>
    <row r="99" spans="5:20" x14ac:dyDescent="0.2">
      <c r="E99" s="136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</row>
    <row r="100" spans="5:20" x14ac:dyDescent="0.2">
      <c r="E100" s="136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</row>
    <row r="101" spans="5:20" x14ac:dyDescent="0.2">
      <c r="E101" s="136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</row>
    <row r="102" spans="5:20" x14ac:dyDescent="0.2">
      <c r="E102" s="136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</row>
    <row r="103" spans="5:20" x14ac:dyDescent="0.2">
      <c r="E103" s="136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</row>
    <row r="104" spans="5:20" x14ac:dyDescent="0.2">
      <c r="E104" s="136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</row>
    <row r="105" spans="5:20" x14ac:dyDescent="0.2">
      <c r="E105" s="136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</row>
    <row r="106" spans="5:20" x14ac:dyDescent="0.2">
      <c r="E106" s="136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</row>
    <row r="107" spans="5:20" x14ac:dyDescent="0.2">
      <c r="E107" s="136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</row>
    <row r="108" spans="5:20" x14ac:dyDescent="0.2">
      <c r="E108" s="136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</row>
    <row r="109" spans="5:20" x14ac:dyDescent="0.2">
      <c r="E109" s="136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</row>
    <row r="110" spans="5:20" x14ac:dyDescent="0.2">
      <c r="E110" s="136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</row>
    <row r="111" spans="5:20" x14ac:dyDescent="0.2">
      <c r="E111" s="136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</row>
    <row r="112" spans="5:20" x14ac:dyDescent="0.2">
      <c r="E112" s="136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</row>
    <row r="113" spans="5:20" x14ac:dyDescent="0.2">
      <c r="E113" s="136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</row>
    <row r="114" spans="5:20" x14ac:dyDescent="0.2">
      <c r="E114" s="136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</row>
    <row r="115" spans="5:20" x14ac:dyDescent="0.2">
      <c r="E115" s="136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</row>
    <row r="116" spans="5:20" x14ac:dyDescent="0.2">
      <c r="E116" s="136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</row>
    <row r="117" spans="5:20" x14ac:dyDescent="0.2">
      <c r="E117" s="136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</row>
    <row r="118" spans="5:20" x14ac:dyDescent="0.2">
      <c r="E118" s="136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</row>
    <row r="119" spans="5:20" x14ac:dyDescent="0.2">
      <c r="E119" s="136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</row>
    <row r="120" spans="5:20" x14ac:dyDescent="0.2">
      <c r="E120" s="136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</row>
    <row r="121" spans="5:20" x14ac:dyDescent="0.2">
      <c r="E121" s="136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</row>
    <row r="122" spans="5:20" x14ac:dyDescent="0.2">
      <c r="E122" s="136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</row>
    <row r="123" spans="5:20" x14ac:dyDescent="0.2">
      <c r="E123" s="136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</row>
    <row r="124" spans="5:20" x14ac:dyDescent="0.2">
      <c r="E124" s="136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</row>
    <row r="125" spans="5:20" x14ac:dyDescent="0.2"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</row>
    <row r="126" spans="5:20" x14ac:dyDescent="0.2"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</row>
    <row r="127" spans="5:20" x14ac:dyDescent="0.2"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</row>
    <row r="128" spans="5:20" x14ac:dyDescent="0.2"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</row>
    <row r="129" spans="5:20" x14ac:dyDescent="0.2"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</row>
    <row r="130" spans="5:20" x14ac:dyDescent="0.2"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</row>
    <row r="131" spans="5:20" x14ac:dyDescent="0.2"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</row>
    <row r="132" spans="5:20" x14ac:dyDescent="0.2"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</row>
    <row r="133" spans="5:20" x14ac:dyDescent="0.2"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</row>
    <row r="134" spans="5:20" x14ac:dyDescent="0.2"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</row>
    <row r="135" spans="5:20" x14ac:dyDescent="0.2"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</row>
    <row r="136" spans="5:20" x14ac:dyDescent="0.2"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</row>
    <row r="137" spans="5:20" x14ac:dyDescent="0.2"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</row>
    <row r="138" spans="5:20" x14ac:dyDescent="0.2"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</row>
    <row r="139" spans="5:20" x14ac:dyDescent="0.2"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</row>
    <row r="140" spans="5:20" x14ac:dyDescent="0.2"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</row>
    <row r="141" spans="5:20" x14ac:dyDescent="0.2"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</row>
    <row r="142" spans="5:20" x14ac:dyDescent="0.2"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</row>
    <row r="143" spans="5:20" x14ac:dyDescent="0.2"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</row>
    <row r="144" spans="5:20" x14ac:dyDescent="0.2"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</row>
    <row r="145" spans="5:20" x14ac:dyDescent="0.2"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</row>
    <row r="146" spans="5:20" x14ac:dyDescent="0.2"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</row>
    <row r="147" spans="5:20" x14ac:dyDescent="0.2"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</row>
    <row r="148" spans="5:20" x14ac:dyDescent="0.2"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</row>
    <row r="149" spans="5:20" x14ac:dyDescent="0.2"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</row>
    <row r="150" spans="5:20" x14ac:dyDescent="0.2"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</row>
    <row r="151" spans="5:20" x14ac:dyDescent="0.2"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</row>
    <row r="152" spans="5:20" x14ac:dyDescent="0.2"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</row>
    <row r="153" spans="5:20" x14ac:dyDescent="0.2"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</row>
    <row r="154" spans="5:20" x14ac:dyDescent="0.2"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</row>
    <row r="155" spans="5:20" x14ac:dyDescent="0.2"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</row>
    <row r="156" spans="5:20" x14ac:dyDescent="0.2"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</row>
    <row r="157" spans="5:20" x14ac:dyDescent="0.2"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</row>
    <row r="158" spans="5:20" x14ac:dyDescent="0.2"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</row>
    <row r="159" spans="5:20" x14ac:dyDescent="0.2"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</row>
    <row r="160" spans="5:20" x14ac:dyDescent="0.2"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</row>
    <row r="161" spans="5:20" x14ac:dyDescent="0.2"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</row>
    <row r="162" spans="5:20" x14ac:dyDescent="0.2"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</row>
    <row r="163" spans="5:20" x14ac:dyDescent="0.2"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</row>
    <row r="164" spans="5:20" x14ac:dyDescent="0.2"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</row>
    <row r="165" spans="5:20" x14ac:dyDescent="0.2"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</row>
    <row r="166" spans="5:20" x14ac:dyDescent="0.2"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</row>
    <row r="167" spans="5:20" x14ac:dyDescent="0.2"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</row>
    <row r="168" spans="5:20" x14ac:dyDescent="0.2"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</row>
    <row r="169" spans="5:20" x14ac:dyDescent="0.2"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</row>
    <row r="170" spans="5:20" x14ac:dyDescent="0.2"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</row>
    <row r="171" spans="5:20" x14ac:dyDescent="0.2"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</row>
    <row r="172" spans="5:20" x14ac:dyDescent="0.2"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</row>
    <row r="173" spans="5:20" x14ac:dyDescent="0.2"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</row>
    <row r="174" spans="5:20" x14ac:dyDescent="0.2"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</row>
    <row r="175" spans="5:20" x14ac:dyDescent="0.2"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</row>
    <row r="176" spans="5:20" x14ac:dyDescent="0.2"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</row>
    <row r="177" spans="5:20" x14ac:dyDescent="0.2"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</row>
    <row r="178" spans="5:20" x14ac:dyDescent="0.2"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</row>
    <row r="179" spans="5:20" x14ac:dyDescent="0.2"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</row>
    <row r="180" spans="5:20" x14ac:dyDescent="0.2"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</row>
    <row r="181" spans="5:20" x14ac:dyDescent="0.2"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</row>
    <row r="182" spans="5:20" x14ac:dyDescent="0.2"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</row>
    <row r="183" spans="5:20" x14ac:dyDescent="0.2"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</row>
    <row r="184" spans="5:20" x14ac:dyDescent="0.2"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</row>
    <row r="185" spans="5:20" x14ac:dyDescent="0.2"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</row>
    <row r="186" spans="5:20" x14ac:dyDescent="0.2"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</row>
    <row r="187" spans="5:20" x14ac:dyDescent="0.2"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</row>
    <row r="188" spans="5:20" x14ac:dyDescent="0.2"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</row>
    <row r="189" spans="5:20" x14ac:dyDescent="0.2"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</row>
    <row r="190" spans="5:20" x14ac:dyDescent="0.2"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</row>
    <row r="191" spans="5:20" x14ac:dyDescent="0.2"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</row>
    <row r="192" spans="5:20" x14ac:dyDescent="0.2"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</row>
    <row r="193" spans="5:20" x14ac:dyDescent="0.2"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</row>
    <row r="194" spans="5:20" x14ac:dyDescent="0.2"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</row>
    <row r="195" spans="5:20" x14ac:dyDescent="0.2"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</row>
    <row r="196" spans="5:20" x14ac:dyDescent="0.2"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</row>
    <row r="197" spans="5:20" x14ac:dyDescent="0.2"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</row>
    <row r="198" spans="5:20" x14ac:dyDescent="0.2"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</row>
    <row r="199" spans="5:20" x14ac:dyDescent="0.2"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</row>
    <row r="200" spans="5:20" x14ac:dyDescent="0.2"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</row>
    <row r="201" spans="5:20" x14ac:dyDescent="0.2"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</row>
    <row r="202" spans="5:20" x14ac:dyDescent="0.2"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</row>
    <row r="203" spans="5:20" x14ac:dyDescent="0.2"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</row>
    <row r="204" spans="5:20" x14ac:dyDescent="0.2"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</row>
    <row r="205" spans="5:20" x14ac:dyDescent="0.2"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</row>
    <row r="206" spans="5:20" x14ac:dyDescent="0.2"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</row>
    <row r="207" spans="5:20" x14ac:dyDescent="0.2"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</row>
    <row r="208" spans="5:20" x14ac:dyDescent="0.2"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</row>
    <row r="209" spans="5:20" x14ac:dyDescent="0.2"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</row>
    <row r="210" spans="5:20" x14ac:dyDescent="0.2"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</row>
    <row r="211" spans="5:20" x14ac:dyDescent="0.2"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</row>
    <row r="212" spans="5:20" x14ac:dyDescent="0.2"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</row>
    <row r="213" spans="5:20" x14ac:dyDescent="0.2"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</row>
    <row r="214" spans="5:20" x14ac:dyDescent="0.2"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</row>
  </sheetData>
  <phoneticPr fontId="38" type="noConversion"/>
  <conditionalFormatting sqref="E21:AG2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8"/>
  <sheetViews>
    <sheetView zoomScale="89" zoomScaleNormal="89" workbookViewId="0">
      <selection activeCell="H22" sqref="H22"/>
    </sheetView>
  </sheetViews>
  <sheetFormatPr defaultColWidth="8.7109375" defaultRowHeight="12.75" x14ac:dyDescent="0.2"/>
  <cols>
    <col min="1" max="1" width="2.85546875" style="237" customWidth="1"/>
    <col min="2" max="2" width="19.85546875" style="237" customWidth="1"/>
    <col min="3" max="3" width="9" style="237" bestFit="1" customWidth="1"/>
    <col min="4" max="4" width="12.28515625" style="237" bestFit="1" customWidth="1"/>
    <col min="5" max="5" width="9.28515625" style="237" bestFit="1" customWidth="1"/>
    <col min="6" max="6" width="10.42578125" style="237" bestFit="1" customWidth="1"/>
    <col min="7" max="7" width="9.28515625" style="237" bestFit="1" customWidth="1"/>
    <col min="8" max="8" width="10.140625" style="237" bestFit="1" customWidth="1"/>
    <col min="9" max="9" width="20.42578125" style="237" customWidth="1"/>
    <col min="10" max="10" width="18.140625" style="237" customWidth="1"/>
    <col min="11" max="37" width="20.5703125" style="237" customWidth="1"/>
    <col min="38" max="38" width="20.140625" style="237" customWidth="1"/>
    <col min="39" max="16384" width="8.7109375" style="237"/>
  </cols>
  <sheetData>
    <row r="1" spans="1:38" ht="13.5" thickBot="1" x14ac:dyDescent="0.25">
      <c r="A1" s="135"/>
      <c r="B1" s="249"/>
      <c r="C1" s="249"/>
      <c r="D1" s="249"/>
      <c r="E1" s="249"/>
      <c r="F1" s="249"/>
      <c r="G1" s="249"/>
      <c r="H1" s="249"/>
      <c r="I1" s="236" t="e">
        <f>'План продаж'!#REF!</f>
        <v>#REF!</v>
      </c>
      <c r="J1" s="236"/>
      <c r="K1" s="236"/>
      <c r="L1" s="236"/>
      <c r="M1" s="236"/>
      <c r="N1" s="236"/>
      <c r="O1" s="236"/>
      <c r="P1" s="236"/>
      <c r="Q1" s="236"/>
      <c r="R1" s="236"/>
      <c r="S1" s="236"/>
      <c r="U1" s="236">
        <f>'План продаж'!P23</f>
        <v>0</v>
      </c>
      <c r="V1" s="236">
        <f>'План продаж'!R23</f>
        <v>0</v>
      </c>
      <c r="W1" s="236">
        <f>'План продаж'!S23</f>
        <v>0</v>
      </c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</row>
    <row r="2" spans="1:38" ht="13.5" thickBot="1" x14ac:dyDescent="0.25">
      <c r="A2" s="240"/>
      <c r="B2" s="250"/>
      <c r="C2" s="251"/>
      <c r="D2" s="251"/>
      <c r="E2" s="251"/>
      <c r="F2" s="251"/>
      <c r="G2" s="251"/>
      <c r="H2" s="251"/>
      <c r="I2" s="407" t="str">
        <f>'План продаж'!E24</f>
        <v>1 квартал 26</v>
      </c>
      <c r="J2" s="407" t="str">
        <f>'План продаж'!F24</f>
        <v>2 квартал 26</v>
      </c>
      <c r="K2" s="407" t="str">
        <f>'План продаж'!G24</f>
        <v>3 квартал 26</v>
      </c>
      <c r="L2" s="407" t="str">
        <f>'План продаж'!H24</f>
        <v>4 квартал 26</v>
      </c>
      <c r="M2" s="251" t="str">
        <f>'План продаж'!I24</f>
        <v>1 квартал 27</v>
      </c>
      <c r="N2" s="251" t="str">
        <f>'План продаж'!J24</f>
        <v>2 квартал 27</v>
      </c>
      <c r="O2" s="251" t="str">
        <f>'План продаж'!K24</f>
        <v>3 квартал 27</v>
      </c>
      <c r="P2" s="251" t="str">
        <f>'План продаж'!L24</f>
        <v>4 квартал 27</v>
      </c>
      <c r="Q2" s="408" t="str">
        <f>'План продаж'!M24</f>
        <v>1 квартал 28</v>
      </c>
      <c r="R2" s="408" t="str">
        <f>'План продаж'!N24</f>
        <v>2 квартал 28</v>
      </c>
      <c r="S2" s="408" t="str">
        <f>'План продаж'!O24</f>
        <v>3 квартал 28</v>
      </c>
      <c r="T2" s="408" t="str">
        <f>'План продаж'!P24</f>
        <v>4 квартал 28</v>
      </c>
      <c r="U2" s="251" t="str">
        <f>'План продаж'!Q24</f>
        <v>1 квартал 29</v>
      </c>
      <c r="V2" s="251" t="str">
        <f>'План продаж'!R24</f>
        <v>2 квартал 29</v>
      </c>
      <c r="W2" s="251" t="str">
        <f>'План продаж'!S24</f>
        <v>3 квартал 29</v>
      </c>
      <c r="X2" s="251" t="str">
        <f>'План продаж'!T24</f>
        <v>4 квартал 29</v>
      </c>
      <c r="Y2" s="409" t="str">
        <f>'План продаж'!U24</f>
        <v>1 квартал 30</v>
      </c>
      <c r="Z2" s="409" t="str">
        <f>'План продаж'!V24</f>
        <v>2 квартал 30</v>
      </c>
      <c r="AA2" s="409" t="str">
        <f>'План продаж'!W24</f>
        <v>3 квартал 30</v>
      </c>
      <c r="AB2" s="409" t="str">
        <f>'План продаж'!X24</f>
        <v>4 квартал 30</v>
      </c>
      <c r="AC2" s="370" t="s">
        <v>251</v>
      </c>
      <c r="AD2" s="370" t="s">
        <v>372</v>
      </c>
      <c r="AE2" s="370" t="s">
        <v>329</v>
      </c>
      <c r="AF2" s="370" t="s">
        <v>330</v>
      </c>
      <c r="AG2" s="411" t="s">
        <v>331</v>
      </c>
      <c r="AH2" s="411" t="s">
        <v>332</v>
      </c>
      <c r="AI2" s="411" t="s">
        <v>333</v>
      </c>
      <c r="AJ2" s="411" t="s">
        <v>334</v>
      </c>
      <c r="AK2" s="370" t="s">
        <v>335</v>
      </c>
      <c r="AL2" s="256" t="s">
        <v>202</v>
      </c>
    </row>
    <row r="3" spans="1:38" ht="13.5" thickBot="1" x14ac:dyDescent="0.25">
      <c r="A3" s="240"/>
      <c r="B3" s="429" t="s">
        <v>177</v>
      </c>
      <c r="C3" s="430"/>
      <c r="D3" s="243">
        <v>6</v>
      </c>
      <c r="E3" s="243">
        <v>6</v>
      </c>
      <c r="F3" s="243">
        <v>6</v>
      </c>
      <c r="G3" s="243">
        <v>6</v>
      </c>
      <c r="H3" s="243">
        <v>6</v>
      </c>
      <c r="I3" s="243">
        <v>6</v>
      </c>
      <c r="J3" s="243">
        <v>6</v>
      </c>
      <c r="K3" s="243">
        <v>6</v>
      </c>
      <c r="L3" s="243">
        <v>6</v>
      </c>
      <c r="M3" s="243">
        <v>6</v>
      </c>
      <c r="N3" s="243">
        <v>6</v>
      </c>
      <c r="O3" s="243">
        <v>6</v>
      </c>
      <c r="P3" s="243">
        <v>6</v>
      </c>
      <c r="Q3" s="243">
        <v>6</v>
      </c>
      <c r="R3" s="243">
        <v>6</v>
      </c>
      <c r="S3" s="243">
        <v>6</v>
      </c>
      <c r="T3" s="243">
        <v>6</v>
      </c>
      <c r="U3" s="243">
        <v>6</v>
      </c>
      <c r="V3" s="243">
        <v>6</v>
      </c>
      <c r="W3" s="255">
        <v>6</v>
      </c>
      <c r="X3" s="369"/>
      <c r="Y3" s="369"/>
      <c r="Z3" s="369"/>
      <c r="AA3" s="369"/>
      <c r="AB3" s="369"/>
      <c r="AC3" s="369"/>
      <c r="AD3" s="369"/>
      <c r="AE3" s="369">
        <v>4</v>
      </c>
      <c r="AF3" s="369">
        <v>4</v>
      </c>
      <c r="AG3" s="369">
        <v>4</v>
      </c>
      <c r="AH3" s="369">
        <v>4</v>
      </c>
      <c r="AI3" s="369">
        <v>0</v>
      </c>
      <c r="AJ3" s="369">
        <v>0</v>
      </c>
      <c r="AK3" s="369">
        <v>0</v>
      </c>
      <c r="AL3" s="257"/>
    </row>
    <row r="4" spans="1:38" s="103" customFormat="1" ht="13.5" thickBot="1" x14ac:dyDescent="0.25">
      <c r="A4" s="240"/>
      <c r="B4" s="246" t="s">
        <v>212</v>
      </c>
      <c r="C4" s="247"/>
      <c r="D4" s="248"/>
      <c r="E4" s="248"/>
      <c r="F4" s="248"/>
      <c r="G4" s="248"/>
      <c r="H4" s="248"/>
      <c r="I4" s="248">
        <f>'План продаж'!E25</f>
        <v>4184396165.448</v>
      </c>
      <c r="J4" s="248">
        <f>'План продаж'!F25</f>
        <v>1327438940.8280399</v>
      </c>
      <c r="K4" s="248">
        <f>'План продаж'!G25</f>
        <v>910806395.88234961</v>
      </c>
      <c r="L4" s="248">
        <f>'План продаж'!H25</f>
        <v>1145773565.8414426</v>
      </c>
      <c r="M4" s="248">
        <f>'План продаж'!I25</f>
        <v>966516697.75369287</v>
      </c>
      <c r="N4" s="248">
        <f>'План продаж'!J25</f>
        <v>2506525526.8464594</v>
      </c>
      <c r="O4" s="248">
        <f>'План продаж'!K25</f>
        <v>2982765190.1158152</v>
      </c>
      <c r="P4" s="248">
        <f>'План продаж'!L25</f>
        <v>3622099783.7054105</v>
      </c>
      <c r="Q4" s="248">
        <f>'План продаж'!M25</f>
        <v>3885636630.0461707</v>
      </c>
      <c r="R4" s="248">
        <f>'План продаж'!N25</f>
        <v>3395478627.4537606</v>
      </c>
      <c r="S4" s="248">
        <f>'План продаж'!O25</f>
        <v>4025021543.5035386</v>
      </c>
      <c r="T4" s="248">
        <f>'План продаж'!P25</f>
        <v>4562188090.063899</v>
      </c>
      <c r="U4" s="248">
        <f>'План продаж'!Q25</f>
        <v>4891867441.0956249</v>
      </c>
      <c r="V4" s="248">
        <f>'План продаж'!R25</f>
        <v>5325358595.5541496</v>
      </c>
      <c r="W4" s="248">
        <f>'План продаж'!S25</f>
        <v>5214874181.9866924</v>
      </c>
      <c r="X4" s="248">
        <f>'План продаж'!T25</f>
        <v>5621785192.1031818</v>
      </c>
      <c r="Y4" s="248">
        <f>'План продаж'!U25</f>
        <v>5949611796.7453861</v>
      </c>
      <c r="Z4" s="248">
        <f>'План продаж'!V25</f>
        <v>5975290890.9104586</v>
      </c>
      <c r="AA4" s="248">
        <f>'План продаж'!W25</f>
        <v>6083390330.1103821</v>
      </c>
      <c r="AB4" s="248">
        <f>'План продаж'!X25</f>
        <v>6265137552.4220562</v>
      </c>
      <c r="AC4" s="248">
        <f>'План продаж'!Y25</f>
        <v>5236897437.9479446</v>
      </c>
      <c r="AD4" s="248">
        <f>'План продаж'!Z25</f>
        <v>4907416303.926034</v>
      </c>
      <c r="AE4" s="248">
        <f>'План продаж'!AA25</f>
        <v>5321515423.2366829</v>
      </c>
      <c r="AF4" s="248">
        <f>'План продаж'!AB25</f>
        <v>4885838105.2203197</v>
      </c>
      <c r="AG4" s="248">
        <f>'План продаж'!AC25</f>
        <v>5019117897.4417973</v>
      </c>
      <c r="AH4" s="248">
        <f>'План продаж'!AD25</f>
        <v>5330006902.7222013</v>
      </c>
      <c r="AI4" s="248">
        <f>'План продаж'!AE25</f>
        <v>3820872693.8372025</v>
      </c>
      <c r="AJ4" s="248">
        <f>'План продаж'!AF25</f>
        <v>3073062335.0190625</v>
      </c>
      <c r="AK4" s="248">
        <f>'План продаж'!AG25</f>
        <v>1077401472.368937</v>
      </c>
      <c r="AL4" s="258">
        <f>SUM(D4:AK4)</f>
        <v>117514091710.13669</v>
      </c>
    </row>
    <row r="5" spans="1:38" ht="13.5" thickBot="1" x14ac:dyDescent="0.25">
      <c r="A5" s="240"/>
      <c r="B5" s="252" t="s">
        <v>209</v>
      </c>
      <c r="C5" s="244">
        <v>0</v>
      </c>
      <c r="D5" s="245">
        <f t="shared" ref="D5:H5" si="0">$C$5*D4</f>
        <v>0</v>
      </c>
      <c r="E5" s="245">
        <f t="shared" si="0"/>
        <v>0</v>
      </c>
      <c r="F5" s="245">
        <f t="shared" si="0"/>
        <v>0</v>
      </c>
      <c r="G5" s="245">
        <f t="shared" si="0"/>
        <v>0</v>
      </c>
      <c r="H5" s="245">
        <f t="shared" si="0"/>
        <v>0</v>
      </c>
      <c r="I5" s="245">
        <f>$C$5*I4</f>
        <v>0</v>
      </c>
      <c r="J5" s="245">
        <f t="shared" ref="J5:AK5" si="1">$C$5*J4</f>
        <v>0</v>
      </c>
      <c r="K5" s="245">
        <f t="shared" si="1"/>
        <v>0</v>
      </c>
      <c r="L5" s="245">
        <f t="shared" si="1"/>
        <v>0</v>
      </c>
      <c r="M5" s="245">
        <f t="shared" si="1"/>
        <v>0</v>
      </c>
      <c r="N5" s="245">
        <f t="shared" si="1"/>
        <v>0</v>
      </c>
      <c r="O5" s="245">
        <f t="shared" si="1"/>
        <v>0</v>
      </c>
      <c r="P5" s="245">
        <f t="shared" si="1"/>
        <v>0</v>
      </c>
      <c r="Q5" s="245">
        <f t="shared" si="1"/>
        <v>0</v>
      </c>
      <c r="R5" s="245">
        <f t="shared" si="1"/>
        <v>0</v>
      </c>
      <c r="S5" s="245">
        <f t="shared" si="1"/>
        <v>0</v>
      </c>
      <c r="T5" s="245">
        <f t="shared" si="1"/>
        <v>0</v>
      </c>
      <c r="U5" s="245">
        <f t="shared" si="1"/>
        <v>0</v>
      </c>
      <c r="V5" s="245">
        <f t="shared" si="1"/>
        <v>0</v>
      </c>
      <c r="W5" s="245">
        <f t="shared" si="1"/>
        <v>0</v>
      </c>
      <c r="X5" s="245">
        <f t="shared" si="1"/>
        <v>0</v>
      </c>
      <c r="Y5" s="245">
        <f t="shared" si="1"/>
        <v>0</v>
      </c>
      <c r="Z5" s="245">
        <f t="shared" si="1"/>
        <v>0</v>
      </c>
      <c r="AA5" s="245">
        <f t="shared" si="1"/>
        <v>0</v>
      </c>
      <c r="AB5" s="245">
        <f t="shared" si="1"/>
        <v>0</v>
      </c>
      <c r="AC5" s="245">
        <f t="shared" si="1"/>
        <v>0</v>
      </c>
      <c r="AD5" s="245">
        <f t="shared" si="1"/>
        <v>0</v>
      </c>
      <c r="AE5" s="245">
        <f t="shared" si="1"/>
        <v>0</v>
      </c>
      <c r="AF5" s="245">
        <f t="shared" si="1"/>
        <v>0</v>
      </c>
      <c r="AG5" s="245">
        <f t="shared" si="1"/>
        <v>0</v>
      </c>
      <c r="AH5" s="245">
        <f t="shared" si="1"/>
        <v>0</v>
      </c>
      <c r="AI5" s="245">
        <f t="shared" si="1"/>
        <v>0</v>
      </c>
      <c r="AJ5" s="245">
        <f t="shared" si="1"/>
        <v>0</v>
      </c>
      <c r="AK5" s="245">
        <f t="shared" si="1"/>
        <v>0</v>
      </c>
      <c r="AL5" s="259">
        <f>SUM(D5:AK5)</f>
        <v>0</v>
      </c>
    </row>
    <row r="6" spans="1:38" ht="13.5" thickBot="1" x14ac:dyDescent="0.25">
      <c r="A6" s="240"/>
      <c r="B6" s="253" t="s">
        <v>211</v>
      </c>
      <c r="C6" s="239">
        <v>0.7</v>
      </c>
      <c r="D6" s="238">
        <f t="shared" ref="D6:H6" si="2">$C$6*D4</f>
        <v>0</v>
      </c>
      <c r="E6" s="238">
        <f t="shared" si="2"/>
        <v>0</v>
      </c>
      <c r="F6" s="238">
        <f t="shared" si="2"/>
        <v>0</v>
      </c>
      <c r="G6" s="238">
        <f t="shared" si="2"/>
        <v>0</v>
      </c>
      <c r="H6" s="238">
        <f t="shared" si="2"/>
        <v>0</v>
      </c>
      <c r="I6" s="238">
        <f>$C$6*I4</f>
        <v>2929077315.8135996</v>
      </c>
      <c r="J6" s="238">
        <f t="shared" ref="J6:AK6" si="3">$C$6*J4</f>
        <v>929207258.57962787</v>
      </c>
      <c r="K6" s="238">
        <f t="shared" si="3"/>
        <v>637564477.11764467</v>
      </c>
      <c r="L6" s="238">
        <f t="shared" si="3"/>
        <v>802041496.08900976</v>
      </c>
      <c r="M6" s="238">
        <f t="shared" si="3"/>
        <v>676561688.42758501</v>
      </c>
      <c r="N6" s="238">
        <f t="shared" si="3"/>
        <v>1754567868.7925215</v>
      </c>
      <c r="O6" s="238">
        <f t="shared" si="3"/>
        <v>2087935633.0810704</v>
      </c>
      <c r="P6" s="238">
        <f t="shared" si="3"/>
        <v>2535469848.5937872</v>
      </c>
      <c r="Q6" s="238">
        <f t="shared" si="3"/>
        <v>2719945641.0323195</v>
      </c>
      <c r="R6" s="238">
        <f t="shared" si="3"/>
        <v>2376835039.2176323</v>
      </c>
      <c r="S6" s="238">
        <f t="shared" si="3"/>
        <v>2817515080.452477</v>
      </c>
      <c r="T6" s="238">
        <f t="shared" si="3"/>
        <v>3193531663.0447292</v>
      </c>
      <c r="U6" s="238">
        <f t="shared" si="3"/>
        <v>3424307208.7669373</v>
      </c>
      <c r="V6" s="238">
        <f t="shared" si="3"/>
        <v>3727751016.8879046</v>
      </c>
      <c r="W6" s="238">
        <f t="shared" si="3"/>
        <v>3650411927.3906846</v>
      </c>
      <c r="X6" s="238">
        <f t="shared" si="3"/>
        <v>3935249634.4722271</v>
      </c>
      <c r="Y6" s="238">
        <f t="shared" si="3"/>
        <v>4164728257.7217698</v>
      </c>
      <c r="Z6" s="238">
        <f t="shared" si="3"/>
        <v>4182703623.6373205</v>
      </c>
      <c r="AA6" s="238">
        <f t="shared" si="3"/>
        <v>4258373231.0772672</v>
      </c>
      <c r="AB6" s="238">
        <f t="shared" si="3"/>
        <v>4385596286.6954393</v>
      </c>
      <c r="AC6" s="238">
        <f t="shared" si="3"/>
        <v>3665828206.563561</v>
      </c>
      <c r="AD6" s="238">
        <f t="shared" si="3"/>
        <v>3435191412.7482238</v>
      </c>
      <c r="AE6" s="238">
        <f t="shared" si="3"/>
        <v>3725060796.2656779</v>
      </c>
      <c r="AF6" s="238">
        <f t="shared" si="3"/>
        <v>3420086673.6542234</v>
      </c>
      <c r="AG6" s="238">
        <f t="shared" si="3"/>
        <v>3513382528.2092581</v>
      </c>
      <c r="AH6" s="238">
        <f t="shared" si="3"/>
        <v>3731004831.9055409</v>
      </c>
      <c r="AI6" s="238">
        <f t="shared" si="3"/>
        <v>2674610885.6860418</v>
      </c>
      <c r="AJ6" s="238">
        <f t="shared" si="3"/>
        <v>2151143634.5133438</v>
      </c>
      <c r="AK6" s="238">
        <f t="shared" si="3"/>
        <v>754181030.65825582</v>
      </c>
      <c r="AL6" s="259">
        <f t="shared" ref="AL6:AL7" si="4">SUM(D6:AK6)</f>
        <v>82259864197.095688</v>
      </c>
    </row>
    <row r="7" spans="1:38" ht="13.5" thickBot="1" x14ac:dyDescent="0.25">
      <c r="A7" s="240"/>
      <c r="B7" s="253" t="s">
        <v>210</v>
      </c>
      <c r="C7" s="239">
        <v>0.1</v>
      </c>
      <c r="D7" s="238">
        <f t="shared" ref="D7:H7" si="5">$C$7*D4</f>
        <v>0</v>
      </c>
      <c r="E7" s="238">
        <f t="shared" si="5"/>
        <v>0</v>
      </c>
      <c r="F7" s="238">
        <f t="shared" si="5"/>
        <v>0</v>
      </c>
      <c r="G7" s="238">
        <f t="shared" si="5"/>
        <v>0</v>
      </c>
      <c r="H7" s="238">
        <f t="shared" si="5"/>
        <v>0</v>
      </c>
      <c r="I7" s="238">
        <f>$C$7*I4</f>
        <v>418439616.54480004</v>
      </c>
      <c r="J7" s="238">
        <f t="shared" ref="J7:AK7" si="6">$C$7*J4</f>
        <v>132743894.08280399</v>
      </c>
      <c r="K7" s="238">
        <f t="shared" si="6"/>
        <v>91080639.588234961</v>
      </c>
      <c r="L7" s="238">
        <f t="shared" si="6"/>
        <v>114577356.58414426</v>
      </c>
      <c r="M7" s="238">
        <f t="shared" si="6"/>
        <v>96651669.775369287</v>
      </c>
      <c r="N7" s="238">
        <f t="shared" si="6"/>
        <v>250652552.68464595</v>
      </c>
      <c r="O7" s="238">
        <f t="shared" si="6"/>
        <v>298276519.01158154</v>
      </c>
      <c r="P7" s="238">
        <f t="shared" si="6"/>
        <v>362209978.3705411</v>
      </c>
      <c r="Q7" s="238">
        <f t="shared" si="6"/>
        <v>388563663.00461709</v>
      </c>
      <c r="R7" s="238">
        <f t="shared" si="6"/>
        <v>339547862.74537611</v>
      </c>
      <c r="S7" s="238">
        <f t="shared" si="6"/>
        <v>402502154.3503539</v>
      </c>
      <c r="T7" s="238">
        <f t="shared" si="6"/>
        <v>456218809.00638992</v>
      </c>
      <c r="U7" s="238">
        <f t="shared" si="6"/>
        <v>489186744.10956252</v>
      </c>
      <c r="V7" s="238">
        <f t="shared" si="6"/>
        <v>532535859.55541497</v>
      </c>
      <c r="W7" s="238">
        <f t="shared" si="6"/>
        <v>521487418.19866925</v>
      </c>
      <c r="X7" s="238">
        <f t="shared" si="6"/>
        <v>562178519.21031821</v>
      </c>
      <c r="Y7" s="238">
        <f t="shared" si="6"/>
        <v>594961179.67453861</v>
      </c>
      <c r="Z7" s="238">
        <f t="shared" si="6"/>
        <v>597529089.09104586</v>
      </c>
      <c r="AA7" s="238">
        <f t="shared" si="6"/>
        <v>608339033.01103818</v>
      </c>
      <c r="AB7" s="238">
        <f t="shared" si="6"/>
        <v>626513755.24220562</v>
      </c>
      <c r="AC7" s="238">
        <f t="shared" si="6"/>
        <v>523689743.7947945</v>
      </c>
      <c r="AD7" s="238">
        <f t="shared" si="6"/>
        <v>490741630.3926034</v>
      </c>
      <c r="AE7" s="238">
        <f t="shared" si="6"/>
        <v>532151542.3236683</v>
      </c>
      <c r="AF7" s="238">
        <f t="shared" si="6"/>
        <v>488583810.52203202</v>
      </c>
      <c r="AG7" s="238">
        <f t="shared" si="6"/>
        <v>501911789.74417973</v>
      </c>
      <c r="AH7" s="238">
        <f t="shared" si="6"/>
        <v>533000690.27222013</v>
      </c>
      <c r="AI7" s="238">
        <f t="shared" si="6"/>
        <v>382087269.38372028</v>
      </c>
      <c r="AJ7" s="238">
        <f t="shared" si="6"/>
        <v>307306233.50190628</v>
      </c>
      <c r="AK7" s="238">
        <f t="shared" si="6"/>
        <v>107740147.23689371</v>
      </c>
      <c r="AL7" s="259">
        <f t="shared" si="4"/>
        <v>11751409171.013668</v>
      </c>
    </row>
    <row r="8" spans="1:38" ht="13.5" thickBot="1" x14ac:dyDescent="0.25">
      <c r="A8" s="240"/>
      <c r="B8" s="262" t="s">
        <v>178</v>
      </c>
      <c r="C8" s="261">
        <v>0.2</v>
      </c>
      <c r="D8" s="263">
        <v>0</v>
      </c>
      <c r="E8" s="263">
        <v>0</v>
      </c>
      <c r="F8" s="263">
        <v>0</v>
      </c>
      <c r="G8" s="263">
        <v>0</v>
      </c>
      <c r="H8" s="263">
        <v>0</v>
      </c>
      <c r="I8" s="412">
        <f>I4*$C$8</f>
        <v>836879233.08960009</v>
      </c>
      <c r="J8" s="412">
        <f t="shared" ref="J8:AK8" si="7">J4*$C$8</f>
        <v>265487788.16560799</v>
      </c>
      <c r="K8" s="412">
        <f t="shared" si="7"/>
        <v>182161279.17646992</v>
      </c>
      <c r="L8" s="412">
        <f t="shared" si="7"/>
        <v>229154713.16828853</v>
      </c>
      <c r="M8" s="412">
        <f t="shared" si="7"/>
        <v>193303339.55073857</v>
      </c>
      <c r="N8" s="412">
        <f t="shared" si="7"/>
        <v>501305105.3692919</v>
      </c>
      <c r="O8" s="412">
        <f t="shared" si="7"/>
        <v>596553038.02316308</v>
      </c>
      <c r="P8" s="412">
        <f t="shared" si="7"/>
        <v>724419956.74108219</v>
      </c>
      <c r="Q8" s="412">
        <f t="shared" si="7"/>
        <v>777127326.00923419</v>
      </c>
      <c r="R8" s="412">
        <f t="shared" si="7"/>
        <v>679095725.49075222</v>
      </c>
      <c r="S8" s="412">
        <f t="shared" si="7"/>
        <v>805004308.70070779</v>
      </c>
      <c r="T8" s="412">
        <f t="shared" si="7"/>
        <v>912437618.01277983</v>
      </c>
      <c r="U8" s="412">
        <f t="shared" si="7"/>
        <v>978373488.21912503</v>
      </c>
      <c r="V8" s="412">
        <f t="shared" si="7"/>
        <v>1065071719.1108299</v>
      </c>
      <c r="W8" s="412">
        <f t="shared" si="7"/>
        <v>1042974836.3973385</v>
      </c>
      <c r="X8" s="412">
        <f t="shared" si="7"/>
        <v>1124357038.4206364</v>
      </c>
      <c r="Y8" s="412">
        <f t="shared" si="7"/>
        <v>1189922359.3490772</v>
      </c>
      <c r="Z8" s="412">
        <f t="shared" si="7"/>
        <v>1195058178.1820917</v>
      </c>
      <c r="AA8" s="412">
        <f t="shared" si="7"/>
        <v>1216678066.0220764</v>
      </c>
      <c r="AB8" s="412">
        <f t="shared" si="7"/>
        <v>1253027510.4844112</v>
      </c>
      <c r="AC8" s="412">
        <f t="shared" si="7"/>
        <v>1047379487.589589</v>
      </c>
      <c r="AD8" s="412">
        <f t="shared" si="7"/>
        <v>981483260.78520679</v>
      </c>
      <c r="AE8" s="412">
        <f t="shared" si="7"/>
        <v>1064303084.6473366</v>
      </c>
      <c r="AF8" s="412">
        <f t="shared" si="7"/>
        <v>977167621.04406404</v>
      </c>
      <c r="AG8" s="412">
        <f t="shared" si="7"/>
        <v>1003823579.4883595</v>
      </c>
      <c r="AH8" s="412">
        <f t="shared" si="7"/>
        <v>1066001380.5444403</v>
      </c>
      <c r="AI8" s="412">
        <f t="shared" si="7"/>
        <v>764174538.76744056</v>
      </c>
      <c r="AJ8" s="412">
        <f t="shared" si="7"/>
        <v>614612467.00381255</v>
      </c>
      <c r="AK8" s="412">
        <f t="shared" si="7"/>
        <v>215480294.47378743</v>
      </c>
      <c r="AL8" s="374">
        <f t="shared" ref="AL8:AL32" si="8">SUM(D8:AK8)</f>
        <v>23502818342.027336</v>
      </c>
    </row>
    <row r="9" spans="1:38" ht="43.5" customHeight="1" thickBot="1" x14ac:dyDescent="0.25">
      <c r="A9" s="240"/>
      <c r="B9" s="262" t="s">
        <v>179</v>
      </c>
      <c r="C9" s="264" t="s">
        <v>176</v>
      </c>
      <c r="D9" s="263"/>
      <c r="E9" s="263"/>
      <c r="F9" s="263"/>
      <c r="G9" s="263"/>
      <c r="H9" s="263"/>
      <c r="I9" s="263"/>
      <c r="J9" s="263"/>
      <c r="AL9" s="374">
        <f t="shared" si="8"/>
        <v>0</v>
      </c>
    </row>
    <row r="10" spans="1:38" ht="13.5" thickBot="1" x14ac:dyDescent="0.25">
      <c r="A10" s="240"/>
      <c r="B10" s="265"/>
      <c r="C10" s="264" t="s">
        <v>180</v>
      </c>
      <c r="D10" s="263"/>
      <c r="E10" s="263"/>
      <c r="F10" s="263"/>
      <c r="G10" s="263"/>
      <c r="H10" s="263"/>
      <c r="I10" s="263"/>
      <c r="J10" s="263"/>
      <c r="AL10" s="374">
        <f t="shared" si="8"/>
        <v>0</v>
      </c>
    </row>
    <row r="11" spans="1:38" ht="13.5" thickBot="1" x14ac:dyDescent="0.25">
      <c r="A11" s="240"/>
      <c r="B11" s="265"/>
      <c r="C11" s="264" t="s">
        <v>181</v>
      </c>
      <c r="D11" s="263"/>
      <c r="E11" s="263"/>
      <c r="F11" s="263"/>
      <c r="G11" s="263"/>
      <c r="H11" s="263"/>
      <c r="I11" s="263"/>
      <c r="J11" s="263"/>
      <c r="AL11" s="374">
        <f t="shared" si="8"/>
        <v>0</v>
      </c>
    </row>
    <row r="12" spans="1:38" ht="13.5" thickBot="1" x14ac:dyDescent="0.25">
      <c r="A12" s="240"/>
      <c r="B12" s="265"/>
      <c r="C12" s="264" t="s">
        <v>182</v>
      </c>
      <c r="D12" s="263"/>
      <c r="E12" s="263"/>
      <c r="F12" s="263"/>
      <c r="G12" s="263"/>
      <c r="H12" s="263"/>
      <c r="I12" s="263"/>
      <c r="J12" s="263"/>
      <c r="AL12" s="374">
        <f t="shared" si="8"/>
        <v>0</v>
      </c>
    </row>
    <row r="13" spans="1:38" ht="13.5" thickBot="1" x14ac:dyDescent="0.25">
      <c r="A13" s="240"/>
      <c r="B13" s="265"/>
      <c r="C13" s="264" t="s">
        <v>183</v>
      </c>
      <c r="D13" s="263"/>
      <c r="E13" s="263"/>
      <c r="F13" s="263"/>
      <c r="G13" s="263"/>
      <c r="H13" s="263"/>
      <c r="I13" s="263"/>
      <c r="J13" s="263"/>
      <c r="AL13" s="374">
        <f t="shared" si="8"/>
        <v>0</v>
      </c>
    </row>
    <row r="14" spans="1:38" ht="13.5" thickBot="1" x14ac:dyDescent="0.25">
      <c r="A14" s="240"/>
      <c r="B14" s="265"/>
      <c r="C14" s="264" t="s">
        <v>184</v>
      </c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374">
        <f t="shared" si="8"/>
        <v>0</v>
      </c>
    </row>
    <row r="15" spans="1:38" ht="13.5" thickBot="1" x14ac:dyDescent="0.25">
      <c r="A15" s="240"/>
      <c r="B15" s="265"/>
      <c r="C15" s="264" t="s">
        <v>185</v>
      </c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374">
        <f t="shared" si="8"/>
        <v>0</v>
      </c>
    </row>
    <row r="16" spans="1:38" ht="13.5" thickBot="1" x14ac:dyDescent="0.25">
      <c r="A16" s="240"/>
      <c r="B16" s="265"/>
      <c r="C16" s="371" t="s">
        <v>186</v>
      </c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374">
        <f t="shared" si="8"/>
        <v>0</v>
      </c>
    </row>
    <row r="17" spans="1:38" ht="13.5" thickBot="1" x14ac:dyDescent="0.25">
      <c r="A17" s="240"/>
      <c r="B17" s="265"/>
      <c r="C17" s="264" t="s">
        <v>187</v>
      </c>
      <c r="D17" s="263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374">
        <f t="shared" si="8"/>
        <v>0</v>
      </c>
    </row>
    <row r="18" spans="1:38" ht="13.5" thickBot="1" x14ac:dyDescent="0.25">
      <c r="A18" s="240"/>
      <c r="B18" s="265"/>
      <c r="C18" s="264" t="s">
        <v>188</v>
      </c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374">
        <f t="shared" si="8"/>
        <v>0</v>
      </c>
    </row>
    <row r="19" spans="1:38" ht="13.5" thickBot="1" x14ac:dyDescent="0.25">
      <c r="A19" s="240"/>
      <c r="B19" s="265"/>
      <c r="C19" s="264" t="s">
        <v>189</v>
      </c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410"/>
      <c r="AH19" s="263"/>
      <c r="AI19" s="263"/>
      <c r="AJ19" s="263"/>
      <c r="AK19" s="263"/>
      <c r="AL19" s="374">
        <f t="shared" si="8"/>
        <v>0</v>
      </c>
    </row>
    <row r="20" spans="1:38" ht="13.5" thickBot="1" x14ac:dyDescent="0.25">
      <c r="A20" s="240"/>
      <c r="B20" s="265"/>
      <c r="C20" s="264" t="s">
        <v>190</v>
      </c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63"/>
      <c r="AJ20" s="263"/>
      <c r="AK20" s="263"/>
      <c r="AL20" s="374">
        <f t="shared" si="8"/>
        <v>0</v>
      </c>
    </row>
    <row r="21" spans="1:38" ht="13.5" thickBot="1" x14ac:dyDescent="0.25">
      <c r="A21" s="240"/>
      <c r="B21" s="265"/>
      <c r="C21" s="264" t="s">
        <v>191</v>
      </c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374">
        <f t="shared" si="8"/>
        <v>0</v>
      </c>
    </row>
    <row r="22" spans="1:38" ht="13.5" thickBot="1" x14ac:dyDescent="0.25">
      <c r="A22" s="240"/>
      <c r="B22" s="265"/>
      <c r="C22" s="264" t="s">
        <v>192</v>
      </c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374">
        <f t="shared" si="8"/>
        <v>0</v>
      </c>
    </row>
    <row r="23" spans="1:38" ht="13.5" thickBot="1" x14ac:dyDescent="0.25">
      <c r="A23" s="240"/>
      <c r="B23" s="265"/>
      <c r="C23" s="264" t="s">
        <v>193</v>
      </c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374">
        <f t="shared" si="8"/>
        <v>0</v>
      </c>
    </row>
    <row r="24" spans="1:38" ht="13.5" thickBot="1" x14ac:dyDescent="0.25">
      <c r="A24" s="240"/>
      <c r="B24" s="265"/>
      <c r="C24" s="264" t="s">
        <v>194</v>
      </c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374">
        <f t="shared" si="8"/>
        <v>0</v>
      </c>
    </row>
    <row r="25" spans="1:38" ht="13.5" thickBot="1" x14ac:dyDescent="0.25">
      <c r="A25" s="240"/>
      <c r="B25" s="265"/>
      <c r="C25" s="264" t="s">
        <v>195</v>
      </c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374">
        <f t="shared" si="8"/>
        <v>0</v>
      </c>
    </row>
    <row r="26" spans="1:38" ht="13.5" thickBot="1" x14ac:dyDescent="0.25">
      <c r="A26" s="240"/>
      <c r="B26" s="265"/>
      <c r="C26" s="264" t="s">
        <v>196</v>
      </c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374">
        <f t="shared" si="8"/>
        <v>0</v>
      </c>
    </row>
    <row r="27" spans="1:38" ht="13.5" thickBot="1" x14ac:dyDescent="0.25">
      <c r="A27" s="240"/>
      <c r="B27" s="265"/>
      <c r="C27" s="264" t="s">
        <v>197</v>
      </c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374">
        <f t="shared" si="8"/>
        <v>0</v>
      </c>
    </row>
    <row r="28" spans="1:38" ht="13.5" thickBot="1" x14ac:dyDescent="0.25">
      <c r="A28" s="240"/>
      <c r="B28" s="265"/>
      <c r="C28" s="266" t="s">
        <v>208</v>
      </c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374">
        <f t="shared" si="8"/>
        <v>0</v>
      </c>
    </row>
    <row r="29" spans="1:38" ht="13.5" thickBot="1" x14ac:dyDescent="0.25">
      <c r="A29" s="240"/>
      <c r="C29" s="264" t="s">
        <v>336</v>
      </c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  <c r="AJ29" s="263"/>
      <c r="AK29" s="263"/>
      <c r="AL29" s="374">
        <f t="shared" si="8"/>
        <v>0</v>
      </c>
    </row>
    <row r="30" spans="1:38" ht="13.5" thickBot="1" x14ac:dyDescent="0.25">
      <c r="A30" s="135"/>
      <c r="B30" s="241"/>
      <c r="C30" s="266" t="s">
        <v>337</v>
      </c>
      <c r="D30" s="241"/>
      <c r="E30" s="241"/>
      <c r="F30" s="241"/>
      <c r="G30" s="241"/>
      <c r="H30" s="241"/>
      <c r="I30" s="241"/>
      <c r="J30" s="241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374">
        <f t="shared" si="8"/>
        <v>0</v>
      </c>
    </row>
    <row r="31" spans="1:38" ht="13.5" thickBot="1" x14ac:dyDescent="0.25">
      <c r="A31" s="135"/>
      <c r="B31" s="135"/>
      <c r="C31" s="264" t="s">
        <v>338</v>
      </c>
      <c r="D31" s="135"/>
      <c r="E31" s="135"/>
      <c r="F31" s="135"/>
      <c r="G31" s="135"/>
      <c r="H31" s="135"/>
      <c r="I31" s="135"/>
      <c r="J31" s="135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372"/>
      <c r="AJ31" s="263"/>
      <c r="AK31" s="263"/>
      <c r="AL31" s="374">
        <f t="shared" si="8"/>
        <v>0</v>
      </c>
    </row>
    <row r="32" spans="1:38" ht="13.5" thickBot="1" x14ac:dyDescent="0.25">
      <c r="A32" s="135"/>
      <c r="B32" s="135"/>
      <c r="C32" s="266" t="s">
        <v>339</v>
      </c>
      <c r="D32" s="135"/>
      <c r="E32" s="135"/>
      <c r="F32" s="135"/>
      <c r="G32" s="135"/>
      <c r="H32" s="135"/>
      <c r="I32" s="135"/>
      <c r="J32" s="135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372"/>
      <c r="AK32" s="376"/>
      <c r="AL32" s="374">
        <f t="shared" si="8"/>
        <v>0</v>
      </c>
    </row>
    <row r="33" spans="1:38" ht="13.5" thickBot="1" x14ac:dyDescent="0.25">
      <c r="A33" s="135"/>
      <c r="B33" s="427" t="s">
        <v>198</v>
      </c>
      <c r="C33" s="428"/>
      <c r="D33" s="242">
        <f>SUM(D6:D28)</f>
        <v>0</v>
      </c>
      <c r="E33" s="242">
        <f>SUM(E6:E28)</f>
        <v>0</v>
      </c>
      <c r="F33" s="242">
        <f>SUM(F6:F28)</f>
        <v>0</v>
      </c>
      <c r="G33" s="242">
        <f>SUM(G6:G28)</f>
        <v>0</v>
      </c>
      <c r="H33" s="242">
        <f>SUM(H6:H28)</f>
        <v>0</v>
      </c>
      <c r="I33" s="242">
        <f>SUM(I6:I32)</f>
        <v>4184396165.4479995</v>
      </c>
      <c r="J33" s="242">
        <f t="shared" ref="J33:AK33" si="9">SUM(J6:J32)</f>
        <v>1327438940.8280399</v>
      </c>
      <c r="K33" s="242">
        <f t="shared" si="9"/>
        <v>910806395.88234961</v>
      </c>
      <c r="L33" s="242">
        <f t="shared" si="9"/>
        <v>1145773565.8414426</v>
      </c>
      <c r="M33" s="242">
        <f t="shared" si="9"/>
        <v>966516697.75369287</v>
      </c>
      <c r="N33" s="242">
        <f t="shared" si="9"/>
        <v>2506525526.8464594</v>
      </c>
      <c r="O33" s="242">
        <f t="shared" si="9"/>
        <v>2982765190.1158152</v>
      </c>
      <c r="P33" s="242">
        <f t="shared" si="9"/>
        <v>3622099783.7054105</v>
      </c>
      <c r="Q33" s="242">
        <f t="shared" si="9"/>
        <v>3885636630.0461712</v>
      </c>
      <c r="R33" s="242">
        <f t="shared" si="9"/>
        <v>3395478627.4537606</v>
      </c>
      <c r="S33" s="242">
        <f t="shared" si="9"/>
        <v>4025021543.5035386</v>
      </c>
      <c r="T33" s="242">
        <f t="shared" si="9"/>
        <v>4562188090.063899</v>
      </c>
      <c r="U33" s="242">
        <f t="shared" si="9"/>
        <v>4891867441.0956249</v>
      </c>
      <c r="V33" s="242">
        <f t="shared" si="9"/>
        <v>5325358595.5541496</v>
      </c>
      <c r="W33" s="242">
        <f t="shared" si="9"/>
        <v>5214874181.9866924</v>
      </c>
      <c r="X33" s="242">
        <f t="shared" si="9"/>
        <v>5621785192.1031818</v>
      </c>
      <c r="Y33" s="242">
        <f t="shared" si="9"/>
        <v>5949611796.7453861</v>
      </c>
      <c r="Z33" s="242">
        <f t="shared" si="9"/>
        <v>5975290890.9104586</v>
      </c>
      <c r="AA33" s="242">
        <f t="shared" si="9"/>
        <v>6083390330.1103821</v>
      </c>
      <c r="AB33" s="242">
        <f t="shared" si="9"/>
        <v>6265137552.4220562</v>
      </c>
      <c r="AC33" s="242">
        <f t="shared" si="9"/>
        <v>5236897437.9479446</v>
      </c>
      <c r="AD33" s="242">
        <f t="shared" si="9"/>
        <v>4907416303.926034</v>
      </c>
      <c r="AE33" s="242">
        <f t="shared" si="9"/>
        <v>5321515423.2366829</v>
      </c>
      <c r="AF33" s="242">
        <f t="shared" si="9"/>
        <v>4885838105.2203197</v>
      </c>
      <c r="AG33" s="242">
        <f t="shared" si="9"/>
        <v>5019117897.4417973</v>
      </c>
      <c r="AH33" s="242">
        <f t="shared" si="9"/>
        <v>5330006902.7222013</v>
      </c>
      <c r="AI33" s="242">
        <f t="shared" si="9"/>
        <v>3820872693.837203</v>
      </c>
      <c r="AJ33" s="242">
        <f t="shared" si="9"/>
        <v>3073062335.019063</v>
      </c>
      <c r="AK33" s="242">
        <f t="shared" si="9"/>
        <v>1077401472.368937</v>
      </c>
      <c r="AL33" s="260">
        <f>SUM(AL6:AL32)</f>
        <v>117514091710.13669</v>
      </c>
    </row>
    <row r="34" spans="1:38" ht="13.5" thickBot="1" x14ac:dyDescent="0.25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373"/>
    </row>
    <row r="35" spans="1:38" ht="13.5" thickBot="1" x14ac:dyDescent="0.25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375"/>
    </row>
    <row r="36" spans="1:38" ht="13.5" thickBot="1" x14ac:dyDescent="0.25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</row>
    <row r="37" spans="1:38" ht="13.5" thickBot="1" x14ac:dyDescent="0.25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</row>
    <row r="38" spans="1:38" ht="13.5" thickBot="1" x14ac:dyDescent="0.25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</row>
    <row r="39" spans="1:38" ht="13.5" thickBot="1" x14ac:dyDescent="0.25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</row>
    <row r="40" spans="1:38" ht="13.5" thickBot="1" x14ac:dyDescent="0.25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</row>
    <row r="41" spans="1:38" ht="13.5" thickBot="1" x14ac:dyDescent="0.25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</row>
    <row r="42" spans="1:38" ht="13.5" thickBot="1" x14ac:dyDescent="0.25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</row>
    <row r="43" spans="1:38" ht="13.5" thickBot="1" x14ac:dyDescent="0.25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</row>
    <row r="44" spans="1:38" ht="13.5" thickBot="1" x14ac:dyDescent="0.25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</row>
    <row r="45" spans="1:38" ht="13.5" thickBot="1" x14ac:dyDescent="0.2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</row>
    <row r="46" spans="1:38" ht="13.5" thickBot="1" x14ac:dyDescent="0.25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</row>
    <row r="47" spans="1:38" ht="13.5" thickBot="1" x14ac:dyDescent="0.25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</row>
    <row r="48" spans="1:38" ht="13.5" thickBot="1" x14ac:dyDescent="0.25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</row>
    <row r="49" spans="1:38" ht="13.5" thickBot="1" x14ac:dyDescent="0.25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</row>
    <row r="50" spans="1:38" ht="13.5" thickBot="1" x14ac:dyDescent="0.25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</row>
    <row r="51" spans="1:38" ht="13.5" thickBot="1" x14ac:dyDescent="0.25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</row>
    <row r="52" spans="1:38" ht="13.5" thickBot="1" x14ac:dyDescent="0.25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</row>
    <row r="53" spans="1:38" ht="13.5" thickBot="1" x14ac:dyDescent="0.25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</row>
    <row r="54" spans="1:38" ht="13.5" thickBot="1" x14ac:dyDescent="0.25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</row>
    <row r="55" spans="1:38" ht="13.5" thickBot="1" x14ac:dyDescent="0.2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</row>
    <row r="56" spans="1:38" ht="13.5" thickBot="1" x14ac:dyDescent="0.25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</row>
    <row r="57" spans="1:38" ht="13.5" thickBot="1" x14ac:dyDescent="0.25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</row>
    <row r="58" spans="1:38" ht="13.5" thickBot="1" x14ac:dyDescent="0.25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</row>
    <row r="59" spans="1:38" ht="13.5" thickBot="1" x14ac:dyDescent="0.25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</row>
    <row r="60" spans="1:38" ht="13.5" thickBot="1" x14ac:dyDescent="0.25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</row>
    <row r="61" spans="1:38" ht="13.5" thickBot="1" x14ac:dyDescent="0.25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</row>
    <row r="62" spans="1:38" ht="13.5" thickBot="1" x14ac:dyDescent="0.25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</row>
    <row r="63" spans="1:38" ht="13.5" thickBot="1" x14ac:dyDescent="0.25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</row>
    <row r="64" spans="1:38" ht="13.5" thickBot="1" x14ac:dyDescent="0.25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</row>
    <row r="65" spans="1:38" ht="13.5" thickBot="1" x14ac:dyDescent="0.2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</row>
    <row r="66" spans="1:38" ht="13.5" thickBot="1" x14ac:dyDescent="0.25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</row>
    <row r="67" spans="1:38" ht="13.5" thickBot="1" x14ac:dyDescent="0.25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</row>
    <row r="68" spans="1:38" ht="13.5" thickBot="1" x14ac:dyDescent="0.25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</row>
    <row r="69" spans="1:38" ht="13.5" thickBot="1" x14ac:dyDescent="0.25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</row>
    <row r="70" spans="1:38" ht="13.5" thickBot="1" x14ac:dyDescent="0.25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</row>
    <row r="71" spans="1:38" ht="13.5" thickBot="1" x14ac:dyDescent="0.25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</row>
    <row r="72" spans="1:38" ht="13.5" thickBot="1" x14ac:dyDescent="0.25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</row>
    <row r="73" spans="1:38" ht="13.5" thickBot="1" x14ac:dyDescent="0.25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</row>
    <row r="74" spans="1:38" ht="13.5" thickBot="1" x14ac:dyDescent="0.25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</row>
    <row r="75" spans="1:38" ht="13.5" thickBot="1" x14ac:dyDescent="0.2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</row>
    <row r="76" spans="1:38" ht="13.5" thickBot="1" x14ac:dyDescent="0.25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</row>
    <row r="77" spans="1:38" ht="13.5" thickBot="1" x14ac:dyDescent="0.25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</row>
    <row r="78" spans="1:38" ht="13.5" thickBot="1" x14ac:dyDescent="0.25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</row>
    <row r="79" spans="1:38" ht="13.5" thickBot="1" x14ac:dyDescent="0.25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</row>
    <row r="80" spans="1:38" ht="13.5" thickBot="1" x14ac:dyDescent="0.25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</row>
    <row r="81" spans="1:38" ht="13.5" thickBot="1" x14ac:dyDescent="0.25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</row>
    <row r="82" spans="1:38" ht="13.5" thickBot="1" x14ac:dyDescent="0.25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</row>
    <row r="83" spans="1:38" ht="13.5" thickBot="1" x14ac:dyDescent="0.25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</row>
    <row r="84" spans="1:38" ht="13.5" thickBot="1" x14ac:dyDescent="0.25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</row>
    <row r="85" spans="1:38" ht="13.5" thickBot="1" x14ac:dyDescent="0.2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</row>
    <row r="86" spans="1:38" ht="13.5" thickBot="1" x14ac:dyDescent="0.25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</row>
    <row r="87" spans="1:38" ht="13.5" thickBot="1" x14ac:dyDescent="0.25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</row>
    <row r="88" spans="1:38" ht="13.5" thickBot="1" x14ac:dyDescent="0.25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</row>
    <row r="89" spans="1:38" ht="13.5" thickBot="1" x14ac:dyDescent="0.25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</row>
    <row r="90" spans="1:38" ht="13.5" thickBot="1" x14ac:dyDescent="0.25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</row>
    <row r="91" spans="1:38" ht="13.5" thickBot="1" x14ac:dyDescent="0.25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</row>
    <row r="92" spans="1:38" ht="13.5" thickBot="1" x14ac:dyDescent="0.25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</row>
    <row r="93" spans="1:38" ht="13.5" thickBot="1" x14ac:dyDescent="0.25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</row>
    <row r="94" spans="1:38" ht="13.5" thickBot="1" x14ac:dyDescent="0.25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</row>
    <row r="95" spans="1:38" ht="13.5" thickBot="1" x14ac:dyDescent="0.2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</row>
    <row r="96" spans="1:38" ht="13.5" thickBot="1" x14ac:dyDescent="0.25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</row>
    <row r="97" spans="1:38" ht="13.5" thickBot="1" x14ac:dyDescent="0.25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</row>
    <row r="98" spans="1:38" ht="13.5" thickBot="1" x14ac:dyDescent="0.25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</row>
    <row r="99" spans="1:38" ht="13.5" thickBot="1" x14ac:dyDescent="0.25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</row>
    <row r="100" spans="1:38" ht="13.5" thickBot="1" x14ac:dyDescent="0.25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</row>
    <row r="101" spans="1:38" ht="13.5" thickBot="1" x14ac:dyDescent="0.25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</row>
    <row r="102" spans="1:38" ht="13.5" thickBot="1" x14ac:dyDescent="0.25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</row>
    <row r="103" spans="1:38" ht="13.5" thickBot="1" x14ac:dyDescent="0.25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</row>
    <row r="104" spans="1:38" ht="13.5" thickBot="1" x14ac:dyDescent="0.25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</row>
    <row r="105" spans="1:38" ht="13.5" thickBot="1" x14ac:dyDescent="0.2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</row>
    <row r="106" spans="1:38" ht="13.5" thickBot="1" x14ac:dyDescent="0.25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</row>
    <row r="107" spans="1:38" ht="13.5" thickBot="1" x14ac:dyDescent="0.25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</row>
    <row r="108" spans="1:38" ht="13.5" thickBot="1" x14ac:dyDescent="0.25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</row>
    <row r="109" spans="1:38" ht="13.5" thickBot="1" x14ac:dyDescent="0.25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</row>
    <row r="110" spans="1:38" ht="13.5" thickBot="1" x14ac:dyDescent="0.25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</row>
    <row r="111" spans="1:38" ht="13.5" thickBot="1" x14ac:dyDescent="0.25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</row>
    <row r="112" spans="1:38" ht="13.5" thickBot="1" x14ac:dyDescent="0.25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</row>
    <row r="113" spans="1:38" ht="13.5" thickBot="1" x14ac:dyDescent="0.25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</row>
    <row r="114" spans="1:38" ht="13.5" thickBot="1" x14ac:dyDescent="0.25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</row>
    <row r="115" spans="1:38" ht="13.5" thickBot="1" x14ac:dyDescent="0.2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</row>
    <row r="116" spans="1:38" ht="13.5" thickBot="1" x14ac:dyDescent="0.25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</row>
    <row r="117" spans="1:38" ht="13.5" thickBot="1" x14ac:dyDescent="0.25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</row>
    <row r="118" spans="1:38" ht="13.5" thickBot="1" x14ac:dyDescent="0.25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</row>
    <row r="119" spans="1:38" ht="13.5" thickBot="1" x14ac:dyDescent="0.25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</row>
    <row r="120" spans="1:38" ht="13.5" thickBot="1" x14ac:dyDescent="0.25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</row>
    <row r="121" spans="1:38" ht="13.5" thickBot="1" x14ac:dyDescent="0.25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</row>
    <row r="122" spans="1:38" ht="13.5" thickBot="1" x14ac:dyDescent="0.25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</row>
    <row r="123" spans="1:38" ht="13.5" thickBot="1" x14ac:dyDescent="0.25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</row>
    <row r="124" spans="1:38" ht="13.5" thickBot="1" x14ac:dyDescent="0.25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</row>
    <row r="125" spans="1:38" ht="13.5" thickBot="1" x14ac:dyDescent="0.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</row>
    <row r="126" spans="1:38" ht="13.5" thickBot="1" x14ac:dyDescent="0.25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</row>
    <row r="127" spans="1:38" ht="13.5" thickBot="1" x14ac:dyDescent="0.25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</row>
    <row r="128" spans="1:38" ht="13.5" thickBot="1" x14ac:dyDescent="0.25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</row>
    <row r="129" spans="1:38" ht="13.5" thickBot="1" x14ac:dyDescent="0.25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</row>
    <row r="130" spans="1:38" ht="13.5" thickBot="1" x14ac:dyDescent="0.25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</row>
    <row r="131" spans="1:38" ht="13.5" thickBot="1" x14ac:dyDescent="0.25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</row>
    <row r="132" spans="1:38" ht="13.5" thickBot="1" x14ac:dyDescent="0.25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</row>
    <row r="133" spans="1:38" ht="13.5" thickBot="1" x14ac:dyDescent="0.25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</row>
    <row r="134" spans="1:38" ht="13.5" thickBot="1" x14ac:dyDescent="0.25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</row>
    <row r="135" spans="1:38" ht="13.5" thickBot="1" x14ac:dyDescent="0.2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</row>
    <row r="136" spans="1:38" ht="13.5" thickBot="1" x14ac:dyDescent="0.25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</row>
    <row r="137" spans="1:38" ht="13.5" thickBot="1" x14ac:dyDescent="0.25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</row>
    <row r="138" spans="1:38" ht="13.5" thickBot="1" x14ac:dyDescent="0.25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</row>
    <row r="139" spans="1:38" ht="13.5" thickBot="1" x14ac:dyDescent="0.25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</row>
    <row r="140" spans="1:38" ht="13.5" thickBot="1" x14ac:dyDescent="0.25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</row>
    <row r="141" spans="1:38" ht="13.5" thickBot="1" x14ac:dyDescent="0.25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</row>
    <row r="142" spans="1:38" ht="13.5" thickBot="1" x14ac:dyDescent="0.25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</row>
    <row r="143" spans="1:38" ht="13.5" thickBot="1" x14ac:dyDescent="0.25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</row>
    <row r="144" spans="1:38" ht="13.5" thickBot="1" x14ac:dyDescent="0.25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</row>
    <row r="145" spans="1:38" ht="13.5" thickBot="1" x14ac:dyDescent="0.2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</row>
    <row r="146" spans="1:38" ht="13.5" thickBot="1" x14ac:dyDescent="0.25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</row>
    <row r="147" spans="1:38" ht="13.5" thickBot="1" x14ac:dyDescent="0.25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</row>
    <row r="148" spans="1:38" ht="13.5" thickBot="1" x14ac:dyDescent="0.25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</row>
    <row r="149" spans="1:38" ht="13.5" thickBot="1" x14ac:dyDescent="0.25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</row>
    <row r="150" spans="1:38" ht="13.5" thickBot="1" x14ac:dyDescent="0.25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</row>
    <row r="151" spans="1:38" ht="13.5" thickBot="1" x14ac:dyDescent="0.25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</row>
    <row r="152" spans="1:38" ht="13.5" thickBot="1" x14ac:dyDescent="0.25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</row>
    <row r="153" spans="1:38" ht="13.5" thickBot="1" x14ac:dyDescent="0.25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</row>
    <row r="154" spans="1:38" ht="13.5" thickBot="1" x14ac:dyDescent="0.25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</row>
    <row r="155" spans="1:38" ht="13.5" thickBot="1" x14ac:dyDescent="0.2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</row>
    <row r="156" spans="1:38" ht="13.5" thickBot="1" x14ac:dyDescent="0.25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</row>
    <row r="157" spans="1:38" ht="13.5" thickBot="1" x14ac:dyDescent="0.25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</row>
    <row r="158" spans="1:38" ht="13.5" thickBot="1" x14ac:dyDescent="0.25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</row>
    <row r="159" spans="1:38" ht="13.5" thickBot="1" x14ac:dyDescent="0.25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</row>
    <row r="160" spans="1:38" ht="13.5" thickBot="1" x14ac:dyDescent="0.25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</row>
    <row r="161" spans="1:38" ht="13.5" thickBot="1" x14ac:dyDescent="0.25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</row>
    <row r="162" spans="1:38" ht="13.5" thickBot="1" x14ac:dyDescent="0.25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</row>
    <row r="163" spans="1:38" ht="13.5" thickBot="1" x14ac:dyDescent="0.25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</row>
    <row r="164" spans="1:38" ht="13.5" thickBot="1" x14ac:dyDescent="0.25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</row>
    <row r="165" spans="1:38" ht="13.5" thickBot="1" x14ac:dyDescent="0.2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</row>
    <row r="166" spans="1:38" ht="13.5" thickBot="1" x14ac:dyDescent="0.25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</row>
    <row r="167" spans="1:38" ht="13.5" thickBot="1" x14ac:dyDescent="0.25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</row>
    <row r="168" spans="1:38" ht="13.5" thickBot="1" x14ac:dyDescent="0.25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</row>
    <row r="169" spans="1:38" ht="13.5" thickBot="1" x14ac:dyDescent="0.25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</row>
    <row r="170" spans="1:38" ht="13.5" thickBot="1" x14ac:dyDescent="0.25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</row>
    <row r="171" spans="1:38" ht="13.5" thickBot="1" x14ac:dyDescent="0.25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</row>
    <row r="172" spans="1:38" ht="13.5" thickBot="1" x14ac:dyDescent="0.25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</row>
    <row r="173" spans="1:38" ht="13.5" thickBot="1" x14ac:dyDescent="0.25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</row>
    <row r="174" spans="1:38" ht="13.5" thickBot="1" x14ac:dyDescent="0.25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</row>
    <row r="175" spans="1:38" ht="13.5" thickBot="1" x14ac:dyDescent="0.2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</row>
    <row r="176" spans="1:38" ht="13.5" thickBot="1" x14ac:dyDescent="0.25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</row>
    <row r="177" spans="1:38" ht="13.5" thickBot="1" x14ac:dyDescent="0.25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</row>
    <row r="178" spans="1:38" ht="13.5" thickBot="1" x14ac:dyDescent="0.25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</row>
    <row r="179" spans="1:38" ht="13.5" thickBot="1" x14ac:dyDescent="0.25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</row>
    <row r="180" spans="1:38" ht="13.5" thickBot="1" x14ac:dyDescent="0.25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</row>
    <row r="181" spans="1:38" ht="13.5" thickBot="1" x14ac:dyDescent="0.25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</row>
    <row r="182" spans="1:38" ht="13.5" thickBot="1" x14ac:dyDescent="0.25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</row>
    <row r="183" spans="1:38" ht="13.5" thickBot="1" x14ac:dyDescent="0.25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</row>
    <row r="184" spans="1:38" ht="13.5" thickBot="1" x14ac:dyDescent="0.25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</row>
    <row r="185" spans="1:38" ht="13.5" thickBot="1" x14ac:dyDescent="0.2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</row>
    <row r="186" spans="1:38" ht="13.5" thickBot="1" x14ac:dyDescent="0.25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</row>
    <row r="187" spans="1:38" ht="13.5" thickBot="1" x14ac:dyDescent="0.25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</row>
    <row r="188" spans="1:38" ht="13.5" thickBot="1" x14ac:dyDescent="0.25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</row>
    <row r="189" spans="1:38" ht="13.5" thickBot="1" x14ac:dyDescent="0.25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</row>
    <row r="190" spans="1:38" ht="13.5" thickBot="1" x14ac:dyDescent="0.25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</row>
    <row r="191" spans="1:38" ht="13.5" thickBot="1" x14ac:dyDescent="0.25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</row>
    <row r="192" spans="1:38" ht="13.5" thickBot="1" x14ac:dyDescent="0.25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</row>
    <row r="193" spans="1:38" ht="13.5" thickBot="1" x14ac:dyDescent="0.25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</row>
    <row r="194" spans="1:38" ht="13.5" thickBot="1" x14ac:dyDescent="0.25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</row>
    <row r="195" spans="1:38" ht="13.5" thickBot="1" x14ac:dyDescent="0.2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</row>
    <row r="196" spans="1:38" ht="13.5" thickBot="1" x14ac:dyDescent="0.25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</row>
    <row r="197" spans="1:38" ht="13.5" thickBot="1" x14ac:dyDescent="0.25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</row>
    <row r="198" spans="1:38" ht="13.5" thickBot="1" x14ac:dyDescent="0.25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</row>
    <row r="199" spans="1:38" ht="13.5" thickBot="1" x14ac:dyDescent="0.25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</row>
    <row r="200" spans="1:38" ht="13.5" thickBot="1" x14ac:dyDescent="0.25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</row>
    <row r="201" spans="1:38" ht="13.5" thickBot="1" x14ac:dyDescent="0.25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</row>
    <row r="202" spans="1:38" ht="13.5" thickBot="1" x14ac:dyDescent="0.25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</row>
    <row r="203" spans="1:38" ht="13.5" thickBot="1" x14ac:dyDescent="0.25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</row>
    <row r="204" spans="1:38" ht="13.5" thickBot="1" x14ac:dyDescent="0.25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</row>
    <row r="205" spans="1:38" ht="13.5" thickBot="1" x14ac:dyDescent="0.2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</row>
    <row r="206" spans="1:38" ht="13.5" thickBot="1" x14ac:dyDescent="0.25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</row>
    <row r="207" spans="1:38" ht="13.5" thickBot="1" x14ac:dyDescent="0.25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</row>
    <row r="208" spans="1:38" ht="13.5" thickBot="1" x14ac:dyDescent="0.25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</row>
    <row r="209" spans="1:38" ht="13.5" thickBot="1" x14ac:dyDescent="0.25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</row>
    <row r="210" spans="1:38" ht="13.5" thickBot="1" x14ac:dyDescent="0.25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</row>
    <row r="211" spans="1:38" ht="13.5" thickBot="1" x14ac:dyDescent="0.25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</row>
    <row r="212" spans="1:38" ht="13.5" thickBot="1" x14ac:dyDescent="0.25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</row>
    <row r="213" spans="1:38" ht="13.5" thickBot="1" x14ac:dyDescent="0.25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</row>
    <row r="214" spans="1:38" ht="13.5" thickBot="1" x14ac:dyDescent="0.25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</row>
    <row r="215" spans="1:38" ht="13.5" thickBot="1" x14ac:dyDescent="0.2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</row>
    <row r="216" spans="1:38" ht="13.5" thickBot="1" x14ac:dyDescent="0.25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</row>
    <row r="217" spans="1:38" ht="13.5" thickBot="1" x14ac:dyDescent="0.25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</row>
    <row r="218" spans="1:38" ht="13.5" thickBot="1" x14ac:dyDescent="0.25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</row>
    <row r="219" spans="1:38" ht="13.5" thickBot="1" x14ac:dyDescent="0.25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</row>
    <row r="220" spans="1:38" ht="13.5" thickBot="1" x14ac:dyDescent="0.25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</row>
    <row r="221" spans="1:38" ht="13.5" thickBot="1" x14ac:dyDescent="0.25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</row>
    <row r="222" spans="1:38" ht="13.5" thickBot="1" x14ac:dyDescent="0.25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</row>
    <row r="223" spans="1:38" ht="13.5" thickBot="1" x14ac:dyDescent="0.25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</row>
    <row r="224" spans="1:38" ht="13.5" thickBot="1" x14ac:dyDescent="0.25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</row>
    <row r="225" spans="1:38" ht="13.5" thickBot="1" x14ac:dyDescent="0.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</row>
    <row r="226" spans="1:38" ht="13.5" thickBot="1" x14ac:dyDescent="0.25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</row>
    <row r="227" spans="1:38" ht="13.5" thickBot="1" x14ac:dyDescent="0.25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</row>
    <row r="228" spans="1:38" ht="13.5" thickBot="1" x14ac:dyDescent="0.25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</row>
    <row r="229" spans="1:38" ht="13.5" thickBot="1" x14ac:dyDescent="0.25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</row>
    <row r="230" spans="1:38" ht="13.5" thickBot="1" x14ac:dyDescent="0.25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</row>
    <row r="231" spans="1:38" ht="13.5" thickBot="1" x14ac:dyDescent="0.25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</row>
    <row r="232" spans="1:38" ht="13.5" thickBot="1" x14ac:dyDescent="0.25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</row>
    <row r="233" spans="1:38" ht="13.5" thickBot="1" x14ac:dyDescent="0.25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</row>
    <row r="234" spans="1:38" ht="13.5" thickBot="1" x14ac:dyDescent="0.25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</row>
    <row r="235" spans="1:38" ht="13.5" thickBot="1" x14ac:dyDescent="0.2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</row>
    <row r="236" spans="1:38" ht="13.5" thickBot="1" x14ac:dyDescent="0.25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</row>
    <row r="237" spans="1:38" ht="13.5" thickBot="1" x14ac:dyDescent="0.25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</row>
    <row r="238" spans="1:38" ht="13.5" thickBot="1" x14ac:dyDescent="0.25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</row>
    <row r="239" spans="1:38" ht="13.5" thickBot="1" x14ac:dyDescent="0.25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</row>
    <row r="240" spans="1:38" ht="13.5" thickBot="1" x14ac:dyDescent="0.25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</row>
    <row r="241" spans="1:38" ht="13.5" thickBot="1" x14ac:dyDescent="0.25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</row>
    <row r="242" spans="1:38" ht="13.5" thickBot="1" x14ac:dyDescent="0.25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</row>
    <row r="243" spans="1:38" ht="13.5" thickBot="1" x14ac:dyDescent="0.25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</row>
    <row r="244" spans="1:38" ht="13.5" thickBot="1" x14ac:dyDescent="0.25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</row>
    <row r="245" spans="1:38" ht="13.5" thickBot="1" x14ac:dyDescent="0.2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</row>
    <row r="246" spans="1:38" ht="13.5" thickBot="1" x14ac:dyDescent="0.25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</row>
    <row r="247" spans="1:38" ht="13.5" thickBot="1" x14ac:dyDescent="0.25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</row>
    <row r="248" spans="1:38" ht="13.5" thickBot="1" x14ac:dyDescent="0.25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</row>
    <row r="249" spans="1:38" ht="13.5" thickBot="1" x14ac:dyDescent="0.25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</row>
    <row r="250" spans="1:38" ht="13.5" thickBot="1" x14ac:dyDescent="0.25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</row>
    <row r="251" spans="1:38" ht="13.5" thickBot="1" x14ac:dyDescent="0.25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</row>
    <row r="252" spans="1:38" ht="13.5" thickBot="1" x14ac:dyDescent="0.25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</row>
    <row r="253" spans="1:38" ht="13.5" thickBot="1" x14ac:dyDescent="0.25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</row>
    <row r="254" spans="1:38" ht="13.5" thickBot="1" x14ac:dyDescent="0.25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</row>
    <row r="255" spans="1:38" ht="13.5" thickBot="1" x14ac:dyDescent="0.2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</row>
    <row r="256" spans="1:38" ht="13.5" thickBot="1" x14ac:dyDescent="0.25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</row>
    <row r="257" spans="1:38" ht="13.5" thickBot="1" x14ac:dyDescent="0.25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</row>
    <row r="258" spans="1:38" ht="13.5" thickBot="1" x14ac:dyDescent="0.25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</row>
    <row r="259" spans="1:38" ht="13.5" thickBot="1" x14ac:dyDescent="0.25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</row>
    <row r="260" spans="1:38" ht="13.5" thickBot="1" x14ac:dyDescent="0.25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</row>
    <row r="261" spans="1:38" ht="13.5" thickBot="1" x14ac:dyDescent="0.25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</row>
    <row r="262" spans="1:38" ht="13.5" thickBot="1" x14ac:dyDescent="0.25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</row>
    <row r="263" spans="1:38" ht="13.5" thickBot="1" x14ac:dyDescent="0.25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</row>
    <row r="264" spans="1:38" ht="13.5" thickBot="1" x14ac:dyDescent="0.25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</row>
    <row r="265" spans="1:38" ht="13.5" thickBot="1" x14ac:dyDescent="0.2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</row>
    <row r="266" spans="1:38" ht="13.5" thickBot="1" x14ac:dyDescent="0.25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</row>
    <row r="267" spans="1:38" ht="13.5" thickBot="1" x14ac:dyDescent="0.25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</row>
    <row r="268" spans="1:38" ht="13.5" thickBot="1" x14ac:dyDescent="0.25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</row>
    <row r="269" spans="1:38" ht="13.5" thickBot="1" x14ac:dyDescent="0.25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</row>
    <row r="270" spans="1:38" ht="13.5" thickBot="1" x14ac:dyDescent="0.25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</row>
    <row r="271" spans="1:38" ht="13.5" thickBot="1" x14ac:dyDescent="0.25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</row>
    <row r="272" spans="1:38" ht="13.5" thickBot="1" x14ac:dyDescent="0.25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</row>
    <row r="273" spans="1:38" ht="13.5" thickBot="1" x14ac:dyDescent="0.25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</row>
    <row r="274" spans="1:38" ht="13.5" thickBot="1" x14ac:dyDescent="0.25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</row>
    <row r="275" spans="1:38" ht="13.5" thickBot="1" x14ac:dyDescent="0.2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</row>
    <row r="276" spans="1:38" ht="13.5" thickBot="1" x14ac:dyDescent="0.25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</row>
    <row r="277" spans="1:38" ht="13.5" thickBot="1" x14ac:dyDescent="0.25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</row>
    <row r="278" spans="1:38" ht="13.5" thickBot="1" x14ac:dyDescent="0.25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</row>
    <row r="279" spans="1:38" ht="13.5" thickBot="1" x14ac:dyDescent="0.25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</row>
    <row r="280" spans="1:38" ht="13.5" thickBot="1" x14ac:dyDescent="0.25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</row>
    <row r="281" spans="1:38" ht="13.5" thickBot="1" x14ac:dyDescent="0.25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</row>
    <row r="282" spans="1:38" ht="13.5" thickBot="1" x14ac:dyDescent="0.25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</row>
    <row r="283" spans="1:38" ht="13.5" thickBot="1" x14ac:dyDescent="0.25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</row>
    <row r="284" spans="1:38" ht="13.5" thickBot="1" x14ac:dyDescent="0.25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</row>
    <row r="285" spans="1:38" ht="13.5" thickBot="1" x14ac:dyDescent="0.2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</row>
    <row r="286" spans="1:38" ht="13.5" thickBot="1" x14ac:dyDescent="0.25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</row>
    <row r="287" spans="1:38" ht="13.5" thickBot="1" x14ac:dyDescent="0.25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</row>
    <row r="288" spans="1:38" ht="13.5" thickBot="1" x14ac:dyDescent="0.25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</row>
    <row r="289" spans="1:38" ht="13.5" thickBot="1" x14ac:dyDescent="0.25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</row>
    <row r="290" spans="1:38" ht="13.5" thickBot="1" x14ac:dyDescent="0.25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</row>
    <row r="291" spans="1:38" ht="13.5" thickBot="1" x14ac:dyDescent="0.25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</row>
    <row r="292" spans="1:38" ht="13.5" thickBot="1" x14ac:dyDescent="0.25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</row>
    <row r="293" spans="1:38" ht="13.5" thickBot="1" x14ac:dyDescent="0.25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</row>
    <row r="294" spans="1:38" ht="13.5" thickBot="1" x14ac:dyDescent="0.25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</row>
    <row r="295" spans="1:38" ht="13.5" thickBot="1" x14ac:dyDescent="0.2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</row>
    <row r="296" spans="1:38" ht="13.5" thickBot="1" x14ac:dyDescent="0.25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</row>
    <row r="297" spans="1:38" ht="13.5" thickBot="1" x14ac:dyDescent="0.25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</row>
    <row r="298" spans="1:38" ht="13.5" thickBot="1" x14ac:dyDescent="0.25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</row>
    <row r="299" spans="1:38" ht="13.5" thickBot="1" x14ac:dyDescent="0.25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</row>
    <row r="300" spans="1:38" ht="13.5" thickBot="1" x14ac:dyDescent="0.25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</row>
    <row r="301" spans="1:38" ht="13.5" thickBot="1" x14ac:dyDescent="0.25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</row>
    <row r="302" spans="1:38" ht="13.5" thickBot="1" x14ac:dyDescent="0.25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</row>
    <row r="303" spans="1:38" ht="13.5" thickBot="1" x14ac:dyDescent="0.25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</row>
    <row r="304" spans="1:38" ht="13.5" thickBot="1" x14ac:dyDescent="0.25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</row>
    <row r="305" spans="1:38" ht="13.5" thickBot="1" x14ac:dyDescent="0.2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</row>
    <row r="306" spans="1:38" ht="13.5" thickBot="1" x14ac:dyDescent="0.25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  <c r="AL306" s="135"/>
    </row>
    <row r="307" spans="1:38" ht="13.5" thickBot="1" x14ac:dyDescent="0.25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5"/>
      <c r="AL307" s="135"/>
    </row>
    <row r="308" spans="1:38" ht="13.5" thickBot="1" x14ac:dyDescent="0.25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  <c r="AL308" s="135"/>
    </row>
    <row r="309" spans="1:38" ht="13.5" thickBot="1" x14ac:dyDescent="0.25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  <c r="AL309" s="135"/>
    </row>
    <row r="310" spans="1:38" ht="13.5" thickBot="1" x14ac:dyDescent="0.25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  <c r="AL310" s="135"/>
    </row>
    <row r="311" spans="1:38" ht="13.5" thickBot="1" x14ac:dyDescent="0.25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5"/>
      <c r="AL311" s="135"/>
    </row>
    <row r="312" spans="1:38" ht="13.5" thickBot="1" x14ac:dyDescent="0.25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5"/>
      <c r="AL312" s="135"/>
    </row>
    <row r="313" spans="1:38" ht="13.5" thickBot="1" x14ac:dyDescent="0.25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  <c r="AL313" s="135"/>
    </row>
    <row r="314" spans="1:38" ht="13.5" thickBot="1" x14ac:dyDescent="0.25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5"/>
      <c r="AL314" s="135"/>
    </row>
    <row r="315" spans="1:38" ht="13.5" thickBot="1" x14ac:dyDescent="0.2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5"/>
      <c r="AL315" s="135"/>
    </row>
    <row r="316" spans="1:38" ht="13.5" thickBot="1" x14ac:dyDescent="0.25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  <c r="AL316" s="135"/>
    </row>
    <row r="317" spans="1:38" ht="13.5" thickBot="1" x14ac:dyDescent="0.25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  <c r="AL317" s="135"/>
    </row>
    <row r="318" spans="1:38" ht="13.5" thickBot="1" x14ac:dyDescent="0.25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  <c r="AL318" s="135"/>
    </row>
    <row r="319" spans="1:38" ht="13.5" thickBot="1" x14ac:dyDescent="0.25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  <c r="AL319" s="135"/>
    </row>
    <row r="320" spans="1:38" ht="13.5" thickBot="1" x14ac:dyDescent="0.25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  <c r="AL320" s="135"/>
    </row>
    <row r="321" spans="1:38" ht="13.5" thickBot="1" x14ac:dyDescent="0.25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  <c r="AL321" s="135"/>
    </row>
    <row r="322" spans="1:38" ht="13.5" thickBot="1" x14ac:dyDescent="0.25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  <c r="AL322" s="135"/>
    </row>
    <row r="323" spans="1:38" ht="13.5" thickBot="1" x14ac:dyDescent="0.25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</row>
    <row r="324" spans="1:38" ht="13.5" thickBot="1" x14ac:dyDescent="0.25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</row>
    <row r="325" spans="1:38" ht="13.5" thickBot="1" x14ac:dyDescent="0.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</row>
    <row r="326" spans="1:38" ht="13.5" thickBot="1" x14ac:dyDescent="0.25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  <c r="AL326" s="135"/>
    </row>
    <row r="327" spans="1:38" ht="13.5" thickBot="1" x14ac:dyDescent="0.25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  <c r="AL327" s="135"/>
    </row>
    <row r="328" spans="1:38" ht="13.5" thickBot="1" x14ac:dyDescent="0.25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</row>
    <row r="329" spans="1:38" ht="13.5" thickBot="1" x14ac:dyDescent="0.25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</row>
    <row r="330" spans="1:38" ht="13.5" thickBot="1" x14ac:dyDescent="0.25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  <c r="AL330" s="135"/>
    </row>
    <row r="331" spans="1:38" ht="13.5" thickBot="1" x14ac:dyDescent="0.25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</row>
    <row r="332" spans="1:38" ht="13.5" thickBot="1" x14ac:dyDescent="0.25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  <c r="AL332" s="135"/>
    </row>
    <row r="333" spans="1:38" ht="13.5" thickBot="1" x14ac:dyDescent="0.25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</row>
    <row r="334" spans="1:38" ht="13.5" thickBot="1" x14ac:dyDescent="0.25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  <c r="AL334" s="135"/>
    </row>
    <row r="335" spans="1:38" ht="13.5" thickBot="1" x14ac:dyDescent="0.2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  <c r="AL335" s="135"/>
    </row>
    <row r="336" spans="1:38" ht="13.5" thickBot="1" x14ac:dyDescent="0.25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  <c r="AL336" s="135"/>
    </row>
    <row r="337" spans="1:38" ht="13.5" thickBot="1" x14ac:dyDescent="0.25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  <c r="AL337" s="135"/>
    </row>
    <row r="338" spans="1:38" ht="13.5" thickBot="1" x14ac:dyDescent="0.25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  <c r="AL338" s="135"/>
    </row>
    <row r="339" spans="1:38" ht="13.5" thickBot="1" x14ac:dyDescent="0.25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5"/>
      <c r="AL339" s="135"/>
    </row>
    <row r="340" spans="1:38" ht="13.5" thickBot="1" x14ac:dyDescent="0.25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  <c r="AL340" s="135"/>
    </row>
    <row r="341" spans="1:38" ht="13.5" thickBot="1" x14ac:dyDescent="0.25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  <c r="AL341" s="135"/>
    </row>
    <row r="342" spans="1:38" ht="13.5" thickBot="1" x14ac:dyDescent="0.25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  <c r="AL342" s="135"/>
    </row>
    <row r="343" spans="1:38" ht="13.5" thickBot="1" x14ac:dyDescent="0.25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  <c r="AL343" s="135"/>
    </row>
    <row r="344" spans="1:38" ht="13.5" thickBot="1" x14ac:dyDescent="0.25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5"/>
      <c r="AL344" s="135"/>
    </row>
    <row r="345" spans="1:38" ht="13.5" thickBot="1" x14ac:dyDescent="0.2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  <c r="AL345" s="135"/>
    </row>
    <row r="346" spans="1:38" ht="13.5" thickBot="1" x14ac:dyDescent="0.25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  <c r="AE346" s="135"/>
      <c r="AF346" s="135"/>
      <c r="AG346" s="135"/>
      <c r="AH346" s="135"/>
      <c r="AI346" s="135"/>
      <c r="AJ346" s="135"/>
      <c r="AK346" s="135"/>
      <c r="AL346" s="135"/>
    </row>
    <row r="347" spans="1:38" ht="13.5" thickBot="1" x14ac:dyDescent="0.25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</row>
    <row r="348" spans="1:38" ht="13.5" thickBot="1" x14ac:dyDescent="0.25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  <c r="AL348" s="135"/>
    </row>
    <row r="349" spans="1:38" ht="13.5" thickBot="1" x14ac:dyDescent="0.25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  <c r="AE349" s="135"/>
      <c r="AF349" s="135"/>
      <c r="AG349" s="135"/>
      <c r="AH349" s="135"/>
      <c r="AI349" s="135"/>
      <c r="AJ349" s="135"/>
      <c r="AK349" s="135"/>
      <c r="AL349" s="135"/>
    </row>
    <row r="350" spans="1:38" ht="13.5" thickBot="1" x14ac:dyDescent="0.25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  <c r="AE350" s="135"/>
      <c r="AF350" s="135"/>
      <c r="AG350" s="135"/>
      <c r="AH350" s="135"/>
      <c r="AI350" s="135"/>
      <c r="AJ350" s="135"/>
      <c r="AK350" s="135"/>
      <c r="AL350" s="135"/>
    </row>
    <row r="351" spans="1:38" ht="13.5" thickBot="1" x14ac:dyDescent="0.25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135"/>
      <c r="AL351" s="135"/>
    </row>
    <row r="352" spans="1:38" ht="13.5" thickBot="1" x14ac:dyDescent="0.25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  <c r="AE352" s="135"/>
      <c r="AF352" s="135"/>
      <c r="AG352" s="135"/>
      <c r="AH352" s="135"/>
      <c r="AI352" s="135"/>
      <c r="AJ352" s="135"/>
      <c r="AK352" s="135"/>
      <c r="AL352" s="135"/>
    </row>
    <row r="353" spans="1:38" ht="13.5" thickBot="1" x14ac:dyDescent="0.25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5"/>
      <c r="AL353" s="135"/>
    </row>
    <row r="354" spans="1:38" ht="13.5" thickBot="1" x14ac:dyDescent="0.25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5"/>
      <c r="AL354" s="135"/>
    </row>
    <row r="355" spans="1:38" ht="13.5" thickBot="1" x14ac:dyDescent="0.2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  <c r="AE355" s="135"/>
      <c r="AF355" s="135"/>
      <c r="AG355" s="135"/>
      <c r="AH355" s="135"/>
      <c r="AI355" s="135"/>
      <c r="AJ355" s="135"/>
      <c r="AK355" s="135"/>
      <c r="AL355" s="135"/>
    </row>
    <row r="356" spans="1:38" ht="13.5" thickBot="1" x14ac:dyDescent="0.25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5"/>
      <c r="AL356" s="135"/>
    </row>
    <row r="357" spans="1:38" ht="13.5" thickBot="1" x14ac:dyDescent="0.25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  <c r="AE357" s="135"/>
      <c r="AF357" s="135"/>
      <c r="AG357" s="135"/>
      <c r="AH357" s="135"/>
      <c r="AI357" s="135"/>
      <c r="AJ357" s="135"/>
      <c r="AK357" s="135"/>
      <c r="AL357" s="135"/>
    </row>
    <row r="358" spans="1:38" ht="13.5" thickBot="1" x14ac:dyDescent="0.25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  <c r="AE358" s="135"/>
      <c r="AF358" s="135"/>
      <c r="AG358" s="135"/>
      <c r="AH358" s="135"/>
      <c r="AI358" s="135"/>
      <c r="AJ358" s="135"/>
      <c r="AK358" s="135"/>
      <c r="AL358" s="135"/>
    </row>
    <row r="359" spans="1:38" ht="13.5" thickBot="1" x14ac:dyDescent="0.25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  <c r="AE359" s="135"/>
      <c r="AF359" s="135"/>
      <c r="AG359" s="135"/>
      <c r="AH359" s="135"/>
      <c r="AI359" s="135"/>
      <c r="AJ359" s="135"/>
      <c r="AK359" s="135"/>
      <c r="AL359" s="135"/>
    </row>
    <row r="360" spans="1:38" ht="13.5" thickBot="1" x14ac:dyDescent="0.25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  <c r="AE360" s="135"/>
      <c r="AF360" s="135"/>
      <c r="AG360" s="135"/>
      <c r="AH360" s="135"/>
      <c r="AI360" s="135"/>
      <c r="AJ360" s="135"/>
      <c r="AK360" s="135"/>
      <c r="AL360" s="135"/>
    </row>
    <row r="361" spans="1:38" ht="13.5" thickBot="1" x14ac:dyDescent="0.25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  <c r="AE361" s="135"/>
      <c r="AF361" s="135"/>
      <c r="AG361" s="135"/>
      <c r="AH361" s="135"/>
      <c r="AI361" s="135"/>
      <c r="AJ361" s="135"/>
      <c r="AK361" s="135"/>
      <c r="AL361" s="135"/>
    </row>
    <row r="362" spans="1:38" ht="13.5" thickBot="1" x14ac:dyDescent="0.25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  <c r="AE362" s="135"/>
      <c r="AF362" s="135"/>
      <c r="AG362" s="135"/>
      <c r="AH362" s="135"/>
      <c r="AI362" s="135"/>
      <c r="AJ362" s="135"/>
      <c r="AK362" s="135"/>
      <c r="AL362" s="135"/>
    </row>
    <row r="363" spans="1:38" ht="13.5" thickBot="1" x14ac:dyDescent="0.25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  <c r="AE363" s="135"/>
      <c r="AF363" s="135"/>
      <c r="AG363" s="135"/>
      <c r="AH363" s="135"/>
      <c r="AI363" s="135"/>
      <c r="AJ363" s="135"/>
      <c r="AK363" s="135"/>
      <c r="AL363" s="135"/>
    </row>
    <row r="364" spans="1:38" ht="13.5" thickBot="1" x14ac:dyDescent="0.25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  <c r="AE364" s="135"/>
      <c r="AF364" s="135"/>
      <c r="AG364" s="135"/>
      <c r="AH364" s="135"/>
      <c r="AI364" s="135"/>
      <c r="AJ364" s="135"/>
      <c r="AK364" s="135"/>
      <c r="AL364" s="135"/>
    </row>
    <row r="365" spans="1:38" ht="13.5" thickBot="1" x14ac:dyDescent="0.2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  <c r="AL365" s="135"/>
    </row>
    <row r="366" spans="1:38" ht="13.5" thickBot="1" x14ac:dyDescent="0.25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  <c r="AE366" s="135"/>
      <c r="AF366" s="135"/>
      <c r="AG366" s="135"/>
      <c r="AH366" s="135"/>
      <c r="AI366" s="135"/>
      <c r="AJ366" s="135"/>
      <c r="AK366" s="135"/>
      <c r="AL366" s="135"/>
    </row>
    <row r="367" spans="1:38" ht="13.5" thickBot="1" x14ac:dyDescent="0.25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  <c r="AE367" s="135"/>
      <c r="AF367" s="135"/>
      <c r="AG367" s="135"/>
      <c r="AH367" s="135"/>
      <c r="AI367" s="135"/>
      <c r="AJ367" s="135"/>
      <c r="AK367" s="135"/>
      <c r="AL367" s="135"/>
    </row>
    <row r="368" spans="1:38" ht="13.5" thickBot="1" x14ac:dyDescent="0.25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  <c r="AE368" s="135"/>
      <c r="AF368" s="135"/>
      <c r="AG368" s="135"/>
      <c r="AH368" s="135"/>
      <c r="AI368" s="135"/>
      <c r="AJ368" s="135"/>
      <c r="AK368" s="135"/>
      <c r="AL368" s="135"/>
    </row>
    <row r="369" spans="1:38" ht="13.5" thickBot="1" x14ac:dyDescent="0.25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  <c r="AE369" s="135"/>
      <c r="AF369" s="135"/>
      <c r="AG369" s="135"/>
      <c r="AH369" s="135"/>
      <c r="AI369" s="135"/>
      <c r="AJ369" s="135"/>
      <c r="AK369" s="135"/>
      <c r="AL369" s="135"/>
    </row>
    <row r="370" spans="1:38" ht="13.5" thickBot="1" x14ac:dyDescent="0.25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5"/>
      <c r="AH370" s="135"/>
      <c r="AI370" s="135"/>
      <c r="AJ370" s="135"/>
      <c r="AK370" s="135"/>
      <c r="AL370" s="135"/>
    </row>
    <row r="371" spans="1:38" ht="13.5" thickBot="1" x14ac:dyDescent="0.25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  <c r="AH371" s="135"/>
      <c r="AI371" s="135"/>
      <c r="AJ371" s="135"/>
      <c r="AK371" s="135"/>
      <c r="AL371" s="135"/>
    </row>
    <row r="372" spans="1:38" ht="13.5" thickBot="1" x14ac:dyDescent="0.25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  <c r="AE372" s="135"/>
      <c r="AF372" s="135"/>
      <c r="AG372" s="135"/>
      <c r="AH372" s="135"/>
      <c r="AI372" s="135"/>
      <c r="AJ372" s="135"/>
      <c r="AK372" s="135"/>
      <c r="AL372" s="135"/>
    </row>
    <row r="373" spans="1:38" ht="13.5" thickBot="1" x14ac:dyDescent="0.25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  <c r="AE373" s="135"/>
      <c r="AF373" s="135"/>
      <c r="AG373" s="135"/>
      <c r="AH373" s="135"/>
      <c r="AI373" s="135"/>
      <c r="AJ373" s="135"/>
      <c r="AK373" s="135"/>
      <c r="AL373" s="135"/>
    </row>
    <row r="374" spans="1:38" ht="13.5" thickBot="1" x14ac:dyDescent="0.25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  <c r="AE374" s="135"/>
      <c r="AF374" s="135"/>
      <c r="AG374" s="135"/>
      <c r="AH374" s="135"/>
      <c r="AI374" s="135"/>
      <c r="AJ374" s="135"/>
      <c r="AK374" s="135"/>
      <c r="AL374" s="135"/>
    </row>
    <row r="375" spans="1:38" ht="13.5" thickBot="1" x14ac:dyDescent="0.2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  <c r="AE375" s="135"/>
      <c r="AF375" s="135"/>
      <c r="AG375" s="135"/>
      <c r="AH375" s="135"/>
      <c r="AI375" s="135"/>
      <c r="AJ375" s="135"/>
      <c r="AK375" s="135"/>
      <c r="AL375" s="135"/>
    </row>
    <row r="376" spans="1:38" ht="13.5" thickBot="1" x14ac:dyDescent="0.25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  <c r="AE376" s="135"/>
      <c r="AF376" s="135"/>
      <c r="AG376" s="135"/>
      <c r="AH376" s="135"/>
      <c r="AI376" s="135"/>
      <c r="AJ376" s="135"/>
      <c r="AK376" s="135"/>
      <c r="AL376" s="135"/>
    </row>
    <row r="377" spans="1:38" ht="13.5" thickBot="1" x14ac:dyDescent="0.25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  <c r="AE377" s="135"/>
      <c r="AF377" s="135"/>
      <c r="AG377" s="135"/>
      <c r="AH377" s="135"/>
      <c r="AI377" s="135"/>
      <c r="AJ377" s="135"/>
      <c r="AK377" s="135"/>
      <c r="AL377" s="135"/>
    </row>
    <row r="378" spans="1:38" ht="13.5" thickBot="1" x14ac:dyDescent="0.25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  <c r="AE378" s="135"/>
      <c r="AF378" s="135"/>
      <c r="AG378" s="135"/>
      <c r="AH378" s="135"/>
      <c r="AI378" s="135"/>
      <c r="AJ378" s="135"/>
      <c r="AK378" s="135"/>
      <c r="AL378" s="135"/>
    </row>
    <row r="379" spans="1:38" ht="13.5" thickBot="1" x14ac:dyDescent="0.25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  <c r="AD379" s="135"/>
      <c r="AE379" s="135"/>
      <c r="AF379" s="135"/>
      <c r="AG379" s="135"/>
      <c r="AH379" s="135"/>
      <c r="AI379" s="135"/>
      <c r="AJ379" s="135"/>
      <c r="AK379" s="135"/>
      <c r="AL379" s="135"/>
    </row>
    <row r="380" spans="1:38" ht="13.5" thickBot="1" x14ac:dyDescent="0.25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  <c r="AE380" s="135"/>
      <c r="AF380" s="135"/>
      <c r="AG380" s="135"/>
      <c r="AH380" s="135"/>
      <c r="AI380" s="135"/>
      <c r="AJ380" s="135"/>
      <c r="AK380" s="135"/>
      <c r="AL380" s="135"/>
    </row>
    <row r="381" spans="1:38" ht="13.5" thickBot="1" x14ac:dyDescent="0.25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  <c r="AE381" s="135"/>
      <c r="AF381" s="135"/>
      <c r="AG381" s="135"/>
      <c r="AH381" s="135"/>
      <c r="AI381" s="135"/>
      <c r="AJ381" s="135"/>
      <c r="AK381" s="135"/>
      <c r="AL381" s="135"/>
    </row>
    <row r="382" spans="1:38" ht="13.5" thickBot="1" x14ac:dyDescent="0.25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  <c r="AE382" s="135"/>
      <c r="AF382" s="135"/>
      <c r="AG382" s="135"/>
      <c r="AH382" s="135"/>
      <c r="AI382" s="135"/>
      <c r="AJ382" s="135"/>
      <c r="AK382" s="135"/>
      <c r="AL382" s="135"/>
    </row>
    <row r="383" spans="1:38" ht="13.5" thickBot="1" x14ac:dyDescent="0.25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  <c r="AE383" s="135"/>
      <c r="AF383" s="135"/>
      <c r="AG383" s="135"/>
      <c r="AH383" s="135"/>
      <c r="AI383" s="135"/>
      <c r="AJ383" s="135"/>
      <c r="AK383" s="135"/>
      <c r="AL383" s="135"/>
    </row>
    <row r="384" spans="1:38" ht="13.5" thickBot="1" x14ac:dyDescent="0.25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  <c r="AH384" s="135"/>
      <c r="AI384" s="135"/>
      <c r="AJ384" s="135"/>
      <c r="AK384" s="135"/>
      <c r="AL384" s="135"/>
    </row>
    <row r="385" spans="1:38" ht="13.5" thickBot="1" x14ac:dyDescent="0.2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5"/>
      <c r="AL385" s="135"/>
    </row>
    <row r="386" spans="1:38" ht="13.5" thickBot="1" x14ac:dyDescent="0.25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  <c r="AE386" s="135"/>
      <c r="AF386" s="135"/>
      <c r="AG386" s="135"/>
      <c r="AH386" s="135"/>
      <c r="AI386" s="135"/>
      <c r="AJ386" s="135"/>
      <c r="AK386" s="135"/>
      <c r="AL386" s="135"/>
    </row>
    <row r="387" spans="1:38" ht="13.5" thickBot="1" x14ac:dyDescent="0.25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  <c r="AE387" s="135"/>
      <c r="AF387" s="135"/>
      <c r="AG387" s="135"/>
      <c r="AH387" s="135"/>
      <c r="AI387" s="135"/>
      <c r="AJ387" s="135"/>
      <c r="AK387" s="135"/>
      <c r="AL387" s="135"/>
    </row>
    <row r="388" spans="1:38" ht="13.5" thickBot="1" x14ac:dyDescent="0.25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  <c r="AH388" s="135"/>
      <c r="AI388" s="135"/>
      <c r="AJ388" s="135"/>
      <c r="AK388" s="135"/>
      <c r="AL388" s="135"/>
    </row>
    <row r="389" spans="1:38" ht="13.5" thickBot="1" x14ac:dyDescent="0.25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  <c r="AH389" s="135"/>
      <c r="AI389" s="135"/>
      <c r="AJ389" s="135"/>
      <c r="AK389" s="135"/>
      <c r="AL389" s="135"/>
    </row>
    <row r="390" spans="1:38" ht="13.5" thickBot="1" x14ac:dyDescent="0.25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  <c r="AH390" s="135"/>
      <c r="AI390" s="135"/>
      <c r="AJ390" s="135"/>
      <c r="AK390" s="135"/>
      <c r="AL390" s="135"/>
    </row>
    <row r="391" spans="1:38" ht="13.5" thickBot="1" x14ac:dyDescent="0.25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  <c r="AE391" s="135"/>
      <c r="AF391" s="135"/>
      <c r="AG391" s="135"/>
      <c r="AH391" s="135"/>
      <c r="AI391" s="135"/>
      <c r="AJ391" s="135"/>
      <c r="AK391" s="135"/>
      <c r="AL391" s="135"/>
    </row>
    <row r="392" spans="1:38" ht="13.5" thickBot="1" x14ac:dyDescent="0.25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  <c r="AE392" s="135"/>
      <c r="AF392" s="135"/>
      <c r="AG392" s="135"/>
      <c r="AH392" s="135"/>
      <c r="AI392" s="135"/>
      <c r="AJ392" s="135"/>
      <c r="AK392" s="135"/>
      <c r="AL392" s="135"/>
    </row>
    <row r="393" spans="1:38" ht="13.5" thickBot="1" x14ac:dyDescent="0.25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  <c r="AE393" s="135"/>
      <c r="AF393" s="135"/>
      <c r="AG393" s="135"/>
      <c r="AH393" s="135"/>
      <c r="AI393" s="135"/>
      <c r="AJ393" s="135"/>
      <c r="AK393" s="135"/>
      <c r="AL393" s="135"/>
    </row>
    <row r="394" spans="1:38" ht="13.5" thickBot="1" x14ac:dyDescent="0.25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  <c r="AE394" s="135"/>
      <c r="AF394" s="135"/>
      <c r="AG394" s="135"/>
      <c r="AH394" s="135"/>
      <c r="AI394" s="135"/>
      <c r="AJ394" s="135"/>
      <c r="AK394" s="135"/>
      <c r="AL394" s="135"/>
    </row>
    <row r="395" spans="1:38" ht="13.5" thickBot="1" x14ac:dyDescent="0.2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  <c r="AJ395" s="135"/>
      <c r="AK395" s="135"/>
      <c r="AL395" s="135"/>
    </row>
    <row r="396" spans="1:38" ht="13.5" thickBot="1" x14ac:dyDescent="0.25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  <c r="AH396" s="135"/>
      <c r="AI396" s="135"/>
      <c r="AJ396" s="135"/>
      <c r="AK396" s="135"/>
      <c r="AL396" s="135"/>
    </row>
    <row r="397" spans="1:38" ht="13.5" thickBot="1" x14ac:dyDescent="0.25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  <c r="AH397" s="135"/>
      <c r="AI397" s="135"/>
      <c r="AJ397" s="135"/>
      <c r="AK397" s="135"/>
      <c r="AL397" s="135"/>
    </row>
    <row r="398" spans="1:38" ht="13.5" thickBot="1" x14ac:dyDescent="0.25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  <c r="AE398" s="135"/>
      <c r="AF398" s="135"/>
      <c r="AG398" s="135"/>
      <c r="AH398" s="135"/>
      <c r="AI398" s="135"/>
      <c r="AJ398" s="135"/>
      <c r="AK398" s="135"/>
      <c r="AL398" s="135"/>
    </row>
    <row r="399" spans="1:38" ht="13.5" thickBot="1" x14ac:dyDescent="0.25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  <c r="AD399" s="135"/>
      <c r="AE399" s="135"/>
      <c r="AF399" s="135"/>
      <c r="AG399" s="135"/>
      <c r="AH399" s="135"/>
      <c r="AI399" s="135"/>
      <c r="AJ399" s="135"/>
      <c r="AK399" s="135"/>
      <c r="AL399" s="135"/>
    </row>
    <row r="400" spans="1:38" ht="13.5" thickBot="1" x14ac:dyDescent="0.25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  <c r="AD400" s="135"/>
      <c r="AE400" s="135"/>
      <c r="AF400" s="135"/>
      <c r="AG400" s="135"/>
      <c r="AH400" s="135"/>
      <c r="AI400" s="135"/>
      <c r="AJ400" s="135"/>
      <c r="AK400" s="135"/>
      <c r="AL400" s="135"/>
    </row>
    <row r="401" spans="1:38" ht="13.5" thickBot="1" x14ac:dyDescent="0.25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  <c r="AD401" s="135"/>
      <c r="AE401" s="135"/>
      <c r="AF401" s="135"/>
      <c r="AG401" s="135"/>
      <c r="AH401" s="135"/>
      <c r="AI401" s="135"/>
      <c r="AJ401" s="135"/>
      <c r="AK401" s="135"/>
      <c r="AL401" s="135"/>
    </row>
    <row r="402" spans="1:38" ht="13.5" thickBot="1" x14ac:dyDescent="0.25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  <c r="AD402" s="135"/>
      <c r="AE402" s="135"/>
      <c r="AF402" s="135"/>
      <c r="AG402" s="135"/>
      <c r="AH402" s="135"/>
      <c r="AI402" s="135"/>
      <c r="AJ402" s="135"/>
      <c r="AK402" s="135"/>
      <c r="AL402" s="135"/>
    </row>
    <row r="403" spans="1:38" ht="13.5" thickBot="1" x14ac:dyDescent="0.25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  <c r="AE403" s="135"/>
      <c r="AF403" s="135"/>
      <c r="AG403" s="135"/>
      <c r="AH403" s="135"/>
      <c r="AI403" s="135"/>
      <c r="AJ403" s="135"/>
      <c r="AK403" s="135"/>
      <c r="AL403" s="135"/>
    </row>
    <row r="404" spans="1:38" ht="13.5" thickBot="1" x14ac:dyDescent="0.25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  <c r="AE404" s="135"/>
      <c r="AF404" s="135"/>
      <c r="AG404" s="135"/>
      <c r="AH404" s="135"/>
      <c r="AI404" s="135"/>
      <c r="AJ404" s="135"/>
      <c r="AK404" s="135"/>
      <c r="AL404" s="135"/>
    </row>
    <row r="405" spans="1:38" ht="13.5" thickBot="1" x14ac:dyDescent="0.2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5"/>
      <c r="AL405" s="135"/>
    </row>
    <row r="406" spans="1:38" ht="13.5" thickBot="1" x14ac:dyDescent="0.25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  <c r="AE406" s="135"/>
      <c r="AF406" s="135"/>
      <c r="AG406" s="135"/>
      <c r="AH406" s="135"/>
      <c r="AI406" s="135"/>
      <c r="AJ406" s="135"/>
      <c r="AK406" s="135"/>
      <c r="AL406" s="135"/>
    </row>
    <row r="407" spans="1:38" ht="13.5" thickBot="1" x14ac:dyDescent="0.25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  <c r="AD407" s="135"/>
      <c r="AE407" s="135"/>
      <c r="AF407" s="135"/>
      <c r="AG407" s="135"/>
      <c r="AH407" s="135"/>
      <c r="AI407" s="135"/>
      <c r="AJ407" s="135"/>
      <c r="AK407" s="135"/>
      <c r="AL407" s="135"/>
    </row>
    <row r="408" spans="1:38" ht="13.5" thickBot="1" x14ac:dyDescent="0.25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  <c r="AJ408" s="135"/>
      <c r="AK408" s="135"/>
      <c r="AL408" s="135"/>
    </row>
    <row r="409" spans="1:38" ht="13.5" thickBot="1" x14ac:dyDescent="0.25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  <c r="AD409" s="135"/>
      <c r="AE409" s="135"/>
      <c r="AF409" s="135"/>
      <c r="AG409" s="135"/>
      <c r="AH409" s="135"/>
      <c r="AI409" s="135"/>
      <c r="AJ409" s="135"/>
      <c r="AK409" s="135"/>
      <c r="AL409" s="135"/>
    </row>
    <row r="410" spans="1:38" ht="13.5" thickBot="1" x14ac:dyDescent="0.25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  <c r="AD410" s="135"/>
      <c r="AE410" s="135"/>
      <c r="AF410" s="135"/>
      <c r="AG410" s="135"/>
      <c r="AH410" s="135"/>
      <c r="AI410" s="135"/>
      <c r="AJ410" s="135"/>
      <c r="AK410" s="135"/>
      <c r="AL410" s="135"/>
    </row>
    <row r="411" spans="1:38" ht="13.5" thickBot="1" x14ac:dyDescent="0.25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  <c r="AD411" s="135"/>
      <c r="AE411" s="135"/>
      <c r="AF411" s="135"/>
      <c r="AG411" s="135"/>
      <c r="AH411" s="135"/>
      <c r="AI411" s="135"/>
      <c r="AJ411" s="135"/>
      <c r="AK411" s="135"/>
      <c r="AL411" s="135"/>
    </row>
    <row r="412" spans="1:38" ht="13.5" thickBot="1" x14ac:dyDescent="0.25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  <c r="AD412" s="135"/>
      <c r="AE412" s="135"/>
      <c r="AF412" s="135"/>
      <c r="AG412" s="135"/>
      <c r="AH412" s="135"/>
      <c r="AI412" s="135"/>
      <c r="AJ412" s="135"/>
      <c r="AK412" s="135"/>
      <c r="AL412" s="135"/>
    </row>
    <row r="413" spans="1:38" ht="13.5" thickBot="1" x14ac:dyDescent="0.25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  <c r="AD413" s="135"/>
      <c r="AE413" s="135"/>
      <c r="AF413" s="135"/>
      <c r="AG413" s="135"/>
      <c r="AH413" s="135"/>
      <c r="AI413" s="135"/>
      <c r="AJ413" s="135"/>
      <c r="AK413" s="135"/>
      <c r="AL413" s="135"/>
    </row>
    <row r="414" spans="1:38" ht="13.5" thickBot="1" x14ac:dyDescent="0.25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  <c r="AD414" s="135"/>
      <c r="AE414" s="135"/>
      <c r="AF414" s="135"/>
      <c r="AG414" s="135"/>
      <c r="AH414" s="135"/>
      <c r="AI414" s="135"/>
      <c r="AJ414" s="135"/>
      <c r="AK414" s="135"/>
      <c r="AL414" s="135"/>
    </row>
    <row r="415" spans="1:38" ht="13.5" thickBot="1" x14ac:dyDescent="0.2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  <c r="AD415" s="135"/>
      <c r="AE415" s="135"/>
      <c r="AF415" s="135"/>
      <c r="AG415" s="135"/>
      <c r="AH415" s="135"/>
      <c r="AI415" s="135"/>
      <c r="AJ415" s="135"/>
      <c r="AK415" s="135"/>
      <c r="AL415" s="135"/>
    </row>
    <row r="416" spans="1:38" ht="13.5" thickBot="1" x14ac:dyDescent="0.25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  <c r="AD416" s="135"/>
      <c r="AE416" s="135"/>
      <c r="AF416" s="135"/>
      <c r="AG416" s="135"/>
      <c r="AH416" s="135"/>
      <c r="AI416" s="135"/>
      <c r="AJ416" s="135"/>
      <c r="AK416" s="135"/>
      <c r="AL416" s="135"/>
    </row>
    <row r="417" spans="1:38" ht="13.5" thickBot="1" x14ac:dyDescent="0.25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  <c r="AD417" s="135"/>
      <c r="AE417" s="135"/>
      <c r="AF417" s="135"/>
      <c r="AG417" s="135"/>
      <c r="AH417" s="135"/>
      <c r="AI417" s="135"/>
      <c r="AJ417" s="135"/>
      <c r="AK417" s="135"/>
      <c r="AL417" s="135"/>
    </row>
    <row r="418" spans="1:38" ht="13.5" thickBot="1" x14ac:dyDescent="0.25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  <c r="AE418" s="135"/>
      <c r="AF418" s="135"/>
      <c r="AG418" s="135"/>
      <c r="AH418" s="135"/>
      <c r="AI418" s="135"/>
      <c r="AJ418" s="135"/>
      <c r="AK418" s="135"/>
      <c r="AL418" s="135"/>
    </row>
    <row r="419" spans="1:38" ht="13.5" thickBot="1" x14ac:dyDescent="0.25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  <c r="AJ419" s="135"/>
      <c r="AK419" s="135"/>
      <c r="AL419" s="135"/>
    </row>
    <row r="420" spans="1:38" ht="13.5" thickBot="1" x14ac:dyDescent="0.25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  <c r="AJ420" s="135"/>
      <c r="AK420" s="135"/>
      <c r="AL420" s="135"/>
    </row>
    <row r="421" spans="1:38" ht="13.5" thickBot="1" x14ac:dyDescent="0.25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  <c r="AJ421" s="135"/>
      <c r="AK421" s="135"/>
      <c r="AL421" s="135"/>
    </row>
    <row r="422" spans="1:38" ht="13.5" thickBot="1" x14ac:dyDescent="0.25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  <c r="AJ422" s="135"/>
      <c r="AK422" s="135"/>
      <c r="AL422" s="135"/>
    </row>
    <row r="423" spans="1:38" ht="13.5" thickBot="1" x14ac:dyDescent="0.25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5"/>
      <c r="AL423" s="135"/>
    </row>
    <row r="424" spans="1:38" ht="13.5" thickBot="1" x14ac:dyDescent="0.25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  <c r="AE424" s="135"/>
      <c r="AF424" s="135"/>
      <c r="AG424" s="135"/>
      <c r="AH424" s="135"/>
      <c r="AI424" s="135"/>
      <c r="AJ424" s="135"/>
      <c r="AK424" s="135"/>
      <c r="AL424" s="135"/>
    </row>
    <row r="425" spans="1:38" ht="13.5" thickBot="1" x14ac:dyDescent="0.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  <c r="AL425" s="135"/>
    </row>
    <row r="426" spans="1:38" ht="13.5" thickBot="1" x14ac:dyDescent="0.25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  <c r="AD426" s="135"/>
      <c r="AE426" s="135"/>
      <c r="AF426" s="135"/>
      <c r="AG426" s="135"/>
      <c r="AH426" s="135"/>
      <c r="AI426" s="135"/>
      <c r="AJ426" s="135"/>
      <c r="AK426" s="135"/>
      <c r="AL426" s="135"/>
    </row>
    <row r="427" spans="1:38" ht="13.5" thickBot="1" x14ac:dyDescent="0.25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  <c r="AD427" s="135"/>
      <c r="AE427" s="135"/>
      <c r="AF427" s="135"/>
      <c r="AG427" s="135"/>
      <c r="AH427" s="135"/>
      <c r="AI427" s="135"/>
      <c r="AJ427" s="135"/>
      <c r="AK427" s="135"/>
      <c r="AL427" s="135"/>
    </row>
    <row r="428" spans="1:38" ht="13.5" thickBot="1" x14ac:dyDescent="0.25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  <c r="AI428" s="135"/>
      <c r="AJ428" s="135"/>
      <c r="AK428" s="135"/>
      <c r="AL428" s="135"/>
    </row>
    <row r="429" spans="1:38" ht="13.5" thickBot="1" x14ac:dyDescent="0.25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  <c r="AD429" s="135"/>
      <c r="AE429" s="135"/>
      <c r="AF429" s="135"/>
      <c r="AG429" s="135"/>
      <c r="AH429" s="135"/>
      <c r="AI429" s="135"/>
      <c r="AJ429" s="135"/>
      <c r="AK429" s="135"/>
      <c r="AL429" s="135"/>
    </row>
    <row r="430" spans="1:38" ht="13.5" thickBot="1" x14ac:dyDescent="0.25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  <c r="AD430" s="135"/>
      <c r="AE430" s="135"/>
      <c r="AF430" s="135"/>
      <c r="AG430" s="135"/>
      <c r="AH430" s="135"/>
      <c r="AI430" s="135"/>
      <c r="AJ430" s="135"/>
      <c r="AK430" s="135"/>
      <c r="AL430" s="135"/>
    </row>
    <row r="431" spans="1:38" ht="13.5" thickBot="1" x14ac:dyDescent="0.25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  <c r="AD431" s="135"/>
      <c r="AE431" s="135"/>
      <c r="AF431" s="135"/>
      <c r="AG431" s="135"/>
      <c r="AH431" s="135"/>
      <c r="AI431" s="135"/>
      <c r="AJ431" s="135"/>
      <c r="AK431" s="135"/>
      <c r="AL431" s="135"/>
    </row>
    <row r="432" spans="1:38" ht="13.5" thickBot="1" x14ac:dyDescent="0.25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  <c r="AD432" s="135"/>
      <c r="AE432" s="135"/>
      <c r="AF432" s="135"/>
      <c r="AG432" s="135"/>
      <c r="AH432" s="135"/>
      <c r="AI432" s="135"/>
      <c r="AJ432" s="135"/>
      <c r="AK432" s="135"/>
      <c r="AL432" s="135"/>
    </row>
    <row r="433" spans="1:38" ht="13.5" thickBot="1" x14ac:dyDescent="0.25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  <c r="AD433" s="135"/>
      <c r="AE433" s="135"/>
      <c r="AF433" s="135"/>
      <c r="AG433" s="135"/>
      <c r="AH433" s="135"/>
      <c r="AI433" s="135"/>
      <c r="AJ433" s="135"/>
      <c r="AK433" s="135"/>
      <c r="AL433" s="135"/>
    </row>
    <row r="434" spans="1:38" ht="13.5" thickBot="1" x14ac:dyDescent="0.25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  <c r="AD434" s="135"/>
      <c r="AE434" s="135"/>
      <c r="AF434" s="135"/>
      <c r="AG434" s="135"/>
      <c r="AH434" s="135"/>
      <c r="AI434" s="135"/>
      <c r="AJ434" s="135"/>
      <c r="AK434" s="135"/>
      <c r="AL434" s="135"/>
    </row>
    <row r="435" spans="1:38" ht="13.5" thickBot="1" x14ac:dyDescent="0.2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  <c r="AD435" s="135"/>
      <c r="AE435" s="135"/>
      <c r="AF435" s="135"/>
      <c r="AG435" s="135"/>
      <c r="AH435" s="135"/>
      <c r="AI435" s="135"/>
      <c r="AJ435" s="135"/>
      <c r="AK435" s="135"/>
      <c r="AL435" s="135"/>
    </row>
    <row r="436" spans="1:38" ht="13.5" thickBot="1" x14ac:dyDescent="0.25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  <c r="AE436" s="135"/>
      <c r="AF436" s="135"/>
      <c r="AG436" s="135"/>
      <c r="AH436" s="135"/>
      <c r="AI436" s="135"/>
      <c r="AJ436" s="135"/>
      <c r="AK436" s="135"/>
      <c r="AL436" s="135"/>
    </row>
    <row r="437" spans="1:38" ht="13.5" thickBot="1" x14ac:dyDescent="0.25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  <c r="AE437" s="135"/>
      <c r="AF437" s="135"/>
      <c r="AG437" s="135"/>
      <c r="AH437" s="135"/>
      <c r="AI437" s="135"/>
      <c r="AJ437" s="135"/>
      <c r="AK437" s="135"/>
      <c r="AL437" s="135"/>
    </row>
    <row r="438" spans="1:38" ht="13.5" thickBot="1" x14ac:dyDescent="0.25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  <c r="AE438" s="135"/>
      <c r="AF438" s="135"/>
      <c r="AG438" s="135"/>
      <c r="AH438" s="135"/>
      <c r="AI438" s="135"/>
      <c r="AJ438" s="135"/>
      <c r="AK438" s="135"/>
      <c r="AL438" s="135"/>
    </row>
    <row r="439" spans="1:38" ht="13.5" thickBot="1" x14ac:dyDescent="0.25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  <c r="AE439" s="135"/>
      <c r="AF439" s="135"/>
      <c r="AG439" s="135"/>
      <c r="AH439" s="135"/>
      <c r="AI439" s="135"/>
      <c r="AJ439" s="135"/>
      <c r="AK439" s="135"/>
      <c r="AL439" s="135"/>
    </row>
    <row r="440" spans="1:38" ht="13.5" thickBot="1" x14ac:dyDescent="0.25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  <c r="AD440" s="135"/>
      <c r="AE440" s="135"/>
      <c r="AF440" s="135"/>
      <c r="AG440" s="135"/>
      <c r="AH440" s="135"/>
      <c r="AI440" s="135"/>
      <c r="AJ440" s="135"/>
      <c r="AK440" s="135"/>
      <c r="AL440" s="135"/>
    </row>
    <row r="441" spans="1:38" ht="13.5" thickBot="1" x14ac:dyDescent="0.25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  <c r="AE441" s="135"/>
      <c r="AF441" s="135"/>
      <c r="AG441" s="135"/>
      <c r="AH441" s="135"/>
      <c r="AI441" s="135"/>
      <c r="AJ441" s="135"/>
      <c r="AK441" s="135"/>
      <c r="AL441" s="135"/>
    </row>
    <row r="442" spans="1:38" ht="13.5" thickBot="1" x14ac:dyDescent="0.25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5"/>
      <c r="AL442" s="135"/>
    </row>
    <row r="443" spans="1:38" ht="13.5" thickBot="1" x14ac:dyDescent="0.25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  <c r="AH443" s="135"/>
      <c r="AI443" s="135"/>
      <c r="AJ443" s="135"/>
      <c r="AK443" s="135"/>
      <c r="AL443" s="135"/>
    </row>
    <row r="444" spans="1:38" ht="13.5" thickBot="1" x14ac:dyDescent="0.25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  <c r="AE444" s="135"/>
      <c r="AF444" s="135"/>
      <c r="AG444" s="135"/>
      <c r="AH444" s="135"/>
      <c r="AI444" s="135"/>
      <c r="AJ444" s="135"/>
      <c r="AK444" s="135"/>
      <c r="AL444" s="135"/>
    </row>
    <row r="445" spans="1:38" ht="13.5" thickBot="1" x14ac:dyDescent="0.2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  <c r="AL445" s="135"/>
    </row>
    <row r="446" spans="1:38" ht="13.5" thickBot="1" x14ac:dyDescent="0.25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5"/>
      <c r="AG446" s="135"/>
      <c r="AH446" s="135"/>
      <c r="AI446" s="135"/>
      <c r="AJ446" s="135"/>
      <c r="AK446" s="135"/>
      <c r="AL446" s="135"/>
    </row>
    <row r="447" spans="1:38" ht="13.5" thickBot="1" x14ac:dyDescent="0.25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  <c r="AE447" s="135"/>
      <c r="AF447" s="135"/>
      <c r="AG447" s="135"/>
      <c r="AH447" s="135"/>
      <c r="AI447" s="135"/>
      <c r="AJ447" s="135"/>
      <c r="AK447" s="135"/>
      <c r="AL447" s="135"/>
    </row>
    <row r="448" spans="1:38" ht="13.5" thickBot="1" x14ac:dyDescent="0.25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  <c r="AD448" s="135"/>
      <c r="AE448" s="135"/>
      <c r="AF448" s="135"/>
      <c r="AG448" s="135"/>
      <c r="AH448" s="135"/>
      <c r="AI448" s="135"/>
      <c r="AJ448" s="135"/>
      <c r="AK448" s="135"/>
      <c r="AL448" s="135"/>
    </row>
    <row r="449" spans="1:38" ht="13.5" thickBot="1" x14ac:dyDescent="0.25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  <c r="AD449" s="135"/>
      <c r="AE449" s="135"/>
      <c r="AF449" s="135"/>
      <c r="AG449" s="135"/>
      <c r="AH449" s="135"/>
      <c r="AI449" s="135"/>
      <c r="AJ449" s="135"/>
      <c r="AK449" s="135"/>
      <c r="AL449" s="135"/>
    </row>
    <row r="450" spans="1:38" ht="13.5" thickBot="1" x14ac:dyDescent="0.25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  <c r="AD450" s="135"/>
      <c r="AE450" s="135"/>
      <c r="AF450" s="135"/>
      <c r="AG450" s="135"/>
      <c r="AH450" s="135"/>
      <c r="AI450" s="135"/>
      <c r="AJ450" s="135"/>
      <c r="AK450" s="135"/>
      <c r="AL450" s="135"/>
    </row>
    <row r="451" spans="1:38" ht="13.5" thickBot="1" x14ac:dyDescent="0.25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  <c r="AE451" s="135"/>
      <c r="AF451" s="135"/>
      <c r="AG451" s="135"/>
      <c r="AH451" s="135"/>
      <c r="AI451" s="135"/>
      <c r="AJ451" s="135"/>
      <c r="AK451" s="135"/>
      <c r="AL451" s="135"/>
    </row>
    <row r="452" spans="1:38" ht="13.5" thickBot="1" x14ac:dyDescent="0.25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  <c r="AE452" s="135"/>
      <c r="AF452" s="135"/>
      <c r="AG452" s="135"/>
      <c r="AH452" s="135"/>
      <c r="AI452" s="135"/>
      <c r="AJ452" s="135"/>
      <c r="AK452" s="135"/>
      <c r="AL452" s="135"/>
    </row>
    <row r="453" spans="1:38" ht="13.5" thickBot="1" x14ac:dyDescent="0.25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  <c r="AD453" s="135"/>
      <c r="AE453" s="135"/>
      <c r="AF453" s="135"/>
      <c r="AG453" s="135"/>
      <c r="AH453" s="135"/>
      <c r="AI453" s="135"/>
      <c r="AJ453" s="135"/>
      <c r="AK453" s="135"/>
      <c r="AL453" s="135"/>
    </row>
    <row r="454" spans="1:38" ht="13.5" thickBot="1" x14ac:dyDescent="0.25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  <c r="AD454" s="135"/>
      <c r="AE454" s="135"/>
      <c r="AF454" s="135"/>
      <c r="AG454" s="135"/>
      <c r="AH454" s="135"/>
      <c r="AI454" s="135"/>
      <c r="AJ454" s="135"/>
      <c r="AK454" s="135"/>
      <c r="AL454" s="135"/>
    </row>
    <row r="455" spans="1:38" ht="13.5" thickBot="1" x14ac:dyDescent="0.2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  <c r="AD455" s="135"/>
      <c r="AE455" s="135"/>
      <c r="AF455" s="135"/>
      <c r="AG455" s="135"/>
      <c r="AH455" s="135"/>
      <c r="AI455" s="135"/>
      <c r="AJ455" s="135"/>
      <c r="AK455" s="135"/>
      <c r="AL455" s="135"/>
    </row>
    <row r="456" spans="1:38" ht="13.5" thickBot="1" x14ac:dyDescent="0.25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  <c r="AD456" s="135"/>
      <c r="AE456" s="135"/>
      <c r="AF456" s="135"/>
      <c r="AG456" s="135"/>
      <c r="AH456" s="135"/>
      <c r="AI456" s="135"/>
      <c r="AJ456" s="135"/>
      <c r="AK456" s="135"/>
      <c r="AL456" s="135"/>
    </row>
    <row r="457" spans="1:38" ht="13.5" thickBot="1" x14ac:dyDescent="0.25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  <c r="AE457" s="135"/>
      <c r="AF457" s="135"/>
      <c r="AG457" s="135"/>
      <c r="AH457" s="135"/>
      <c r="AI457" s="135"/>
      <c r="AJ457" s="135"/>
      <c r="AK457" s="135"/>
      <c r="AL457" s="135"/>
    </row>
    <row r="458" spans="1:38" ht="13.5" thickBot="1" x14ac:dyDescent="0.25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  <c r="AE458" s="135"/>
      <c r="AF458" s="135"/>
      <c r="AG458" s="135"/>
      <c r="AH458" s="135"/>
      <c r="AI458" s="135"/>
      <c r="AJ458" s="135"/>
      <c r="AK458" s="135"/>
      <c r="AL458" s="135"/>
    </row>
    <row r="459" spans="1:38" ht="13.5" thickBot="1" x14ac:dyDescent="0.25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  <c r="AD459" s="135"/>
      <c r="AE459" s="135"/>
      <c r="AF459" s="135"/>
      <c r="AG459" s="135"/>
      <c r="AH459" s="135"/>
      <c r="AI459" s="135"/>
      <c r="AJ459" s="135"/>
      <c r="AK459" s="135"/>
      <c r="AL459" s="135"/>
    </row>
    <row r="460" spans="1:38" ht="13.5" thickBot="1" x14ac:dyDescent="0.25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  <c r="AE460" s="135"/>
      <c r="AF460" s="135"/>
      <c r="AG460" s="135"/>
      <c r="AH460" s="135"/>
      <c r="AI460" s="135"/>
      <c r="AJ460" s="135"/>
      <c r="AK460" s="135"/>
      <c r="AL460" s="135"/>
    </row>
    <row r="461" spans="1:38" ht="13.5" thickBot="1" x14ac:dyDescent="0.25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  <c r="AD461" s="135"/>
      <c r="AE461" s="135"/>
      <c r="AF461" s="135"/>
      <c r="AG461" s="135"/>
      <c r="AH461" s="135"/>
      <c r="AI461" s="135"/>
      <c r="AJ461" s="135"/>
      <c r="AK461" s="135"/>
      <c r="AL461" s="135"/>
    </row>
    <row r="462" spans="1:38" ht="13.5" thickBot="1" x14ac:dyDescent="0.25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  <c r="AD462" s="135"/>
      <c r="AE462" s="135"/>
      <c r="AF462" s="135"/>
      <c r="AG462" s="135"/>
      <c r="AH462" s="135"/>
      <c r="AI462" s="135"/>
      <c r="AJ462" s="135"/>
      <c r="AK462" s="135"/>
      <c r="AL462" s="135"/>
    </row>
    <row r="463" spans="1:38" ht="13.5" thickBot="1" x14ac:dyDescent="0.25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  <c r="AD463" s="135"/>
      <c r="AE463" s="135"/>
      <c r="AF463" s="135"/>
      <c r="AG463" s="135"/>
      <c r="AH463" s="135"/>
      <c r="AI463" s="135"/>
      <c r="AJ463" s="135"/>
      <c r="AK463" s="135"/>
      <c r="AL463" s="135"/>
    </row>
    <row r="464" spans="1:38" ht="13.5" thickBot="1" x14ac:dyDescent="0.25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  <c r="AD464" s="135"/>
      <c r="AE464" s="135"/>
      <c r="AF464" s="135"/>
      <c r="AG464" s="135"/>
      <c r="AH464" s="135"/>
      <c r="AI464" s="135"/>
      <c r="AJ464" s="135"/>
      <c r="AK464" s="135"/>
      <c r="AL464" s="135"/>
    </row>
    <row r="465" spans="1:38" ht="13.5" thickBot="1" x14ac:dyDescent="0.2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  <c r="AL465" s="135"/>
    </row>
    <row r="466" spans="1:38" ht="13.5" thickBot="1" x14ac:dyDescent="0.25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  <c r="AE466" s="135"/>
      <c r="AF466" s="135"/>
      <c r="AG466" s="135"/>
      <c r="AH466" s="135"/>
      <c r="AI466" s="135"/>
      <c r="AJ466" s="135"/>
      <c r="AK466" s="135"/>
      <c r="AL466" s="135"/>
    </row>
    <row r="467" spans="1:38" ht="13.5" thickBot="1" x14ac:dyDescent="0.25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  <c r="AD467" s="135"/>
      <c r="AE467" s="135"/>
      <c r="AF467" s="135"/>
      <c r="AG467" s="135"/>
      <c r="AH467" s="135"/>
      <c r="AI467" s="135"/>
      <c r="AJ467" s="135"/>
      <c r="AK467" s="135"/>
      <c r="AL467" s="135"/>
    </row>
    <row r="468" spans="1:38" ht="13.5" thickBot="1" x14ac:dyDescent="0.25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  <c r="AE468" s="135"/>
      <c r="AF468" s="135"/>
      <c r="AG468" s="135"/>
      <c r="AH468" s="135"/>
      <c r="AI468" s="135"/>
      <c r="AJ468" s="135"/>
      <c r="AK468" s="135"/>
      <c r="AL468" s="135"/>
    </row>
    <row r="469" spans="1:38" ht="13.5" thickBot="1" x14ac:dyDescent="0.25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  <c r="AD469" s="135"/>
      <c r="AE469" s="135"/>
      <c r="AF469" s="135"/>
      <c r="AG469" s="135"/>
      <c r="AH469" s="135"/>
      <c r="AI469" s="135"/>
      <c r="AJ469" s="135"/>
      <c r="AK469" s="135"/>
      <c r="AL469" s="135"/>
    </row>
    <row r="470" spans="1:38" ht="13.5" thickBot="1" x14ac:dyDescent="0.25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  <c r="AE470" s="135"/>
      <c r="AF470" s="135"/>
      <c r="AG470" s="135"/>
      <c r="AH470" s="135"/>
      <c r="AI470" s="135"/>
      <c r="AJ470" s="135"/>
      <c r="AK470" s="135"/>
      <c r="AL470" s="135"/>
    </row>
    <row r="471" spans="1:38" ht="13.5" thickBot="1" x14ac:dyDescent="0.25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  <c r="AD471" s="135"/>
      <c r="AE471" s="135"/>
      <c r="AF471" s="135"/>
      <c r="AG471" s="135"/>
      <c r="AH471" s="135"/>
      <c r="AI471" s="135"/>
      <c r="AJ471" s="135"/>
      <c r="AK471" s="135"/>
      <c r="AL471" s="135"/>
    </row>
    <row r="472" spans="1:38" ht="13.5" thickBot="1" x14ac:dyDescent="0.25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  <c r="AE472" s="135"/>
      <c r="AF472" s="135"/>
      <c r="AG472" s="135"/>
      <c r="AH472" s="135"/>
      <c r="AI472" s="135"/>
      <c r="AJ472" s="135"/>
      <c r="AK472" s="135"/>
      <c r="AL472" s="135"/>
    </row>
    <row r="473" spans="1:38" ht="13.5" thickBot="1" x14ac:dyDescent="0.25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  <c r="AD473" s="135"/>
      <c r="AE473" s="135"/>
      <c r="AF473" s="135"/>
      <c r="AG473" s="135"/>
      <c r="AH473" s="135"/>
      <c r="AI473" s="135"/>
      <c r="AJ473" s="135"/>
      <c r="AK473" s="135"/>
      <c r="AL473" s="135"/>
    </row>
    <row r="474" spans="1:38" ht="13.5" thickBot="1" x14ac:dyDescent="0.25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  <c r="AD474" s="135"/>
      <c r="AE474" s="135"/>
      <c r="AF474" s="135"/>
      <c r="AG474" s="135"/>
      <c r="AH474" s="135"/>
      <c r="AI474" s="135"/>
      <c r="AJ474" s="135"/>
      <c r="AK474" s="135"/>
      <c r="AL474" s="135"/>
    </row>
    <row r="475" spans="1:38" ht="13.5" thickBot="1" x14ac:dyDescent="0.2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  <c r="AD475" s="135"/>
      <c r="AE475" s="135"/>
      <c r="AF475" s="135"/>
      <c r="AG475" s="135"/>
      <c r="AH475" s="135"/>
      <c r="AI475" s="135"/>
      <c r="AJ475" s="135"/>
      <c r="AK475" s="135"/>
      <c r="AL475" s="135"/>
    </row>
    <row r="476" spans="1:38" ht="13.5" thickBot="1" x14ac:dyDescent="0.25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5"/>
      <c r="AH476" s="135"/>
      <c r="AI476" s="135"/>
      <c r="AJ476" s="135"/>
      <c r="AK476" s="135"/>
      <c r="AL476" s="135"/>
    </row>
    <row r="477" spans="1:38" ht="13.5" thickBot="1" x14ac:dyDescent="0.25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  <c r="AE477" s="135"/>
      <c r="AF477" s="135"/>
      <c r="AG477" s="135"/>
      <c r="AH477" s="135"/>
      <c r="AI477" s="135"/>
      <c r="AJ477" s="135"/>
      <c r="AK477" s="135"/>
      <c r="AL477" s="135"/>
    </row>
    <row r="478" spans="1:38" ht="13.5" thickBot="1" x14ac:dyDescent="0.25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  <c r="AD478" s="135"/>
      <c r="AE478" s="135"/>
      <c r="AF478" s="135"/>
      <c r="AG478" s="135"/>
      <c r="AH478" s="135"/>
      <c r="AI478" s="135"/>
      <c r="AJ478" s="135"/>
      <c r="AK478" s="135"/>
      <c r="AL478" s="135"/>
    </row>
    <row r="479" spans="1:38" ht="13.5" thickBot="1" x14ac:dyDescent="0.25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  <c r="AD479" s="135"/>
      <c r="AE479" s="135"/>
      <c r="AF479" s="135"/>
      <c r="AG479" s="135"/>
      <c r="AH479" s="135"/>
      <c r="AI479" s="135"/>
      <c r="AJ479" s="135"/>
      <c r="AK479" s="135"/>
      <c r="AL479" s="135"/>
    </row>
    <row r="480" spans="1:38" ht="13.5" thickBot="1" x14ac:dyDescent="0.25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  <c r="AE480" s="135"/>
      <c r="AF480" s="135"/>
      <c r="AG480" s="135"/>
      <c r="AH480" s="135"/>
      <c r="AI480" s="135"/>
      <c r="AJ480" s="135"/>
      <c r="AK480" s="135"/>
      <c r="AL480" s="135"/>
    </row>
    <row r="481" spans="1:38" ht="13.5" thickBot="1" x14ac:dyDescent="0.25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  <c r="AD481" s="135"/>
      <c r="AE481" s="135"/>
      <c r="AF481" s="135"/>
      <c r="AG481" s="135"/>
      <c r="AH481" s="135"/>
      <c r="AI481" s="135"/>
      <c r="AJ481" s="135"/>
      <c r="AK481" s="135"/>
      <c r="AL481" s="135"/>
    </row>
    <row r="482" spans="1:38" ht="13.5" thickBot="1" x14ac:dyDescent="0.25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  <c r="AD482" s="135"/>
      <c r="AE482" s="135"/>
      <c r="AF482" s="135"/>
      <c r="AG482" s="135"/>
      <c r="AH482" s="135"/>
      <c r="AI482" s="135"/>
      <c r="AJ482" s="135"/>
      <c r="AK482" s="135"/>
      <c r="AL482" s="135"/>
    </row>
    <row r="483" spans="1:38" ht="13.5" thickBot="1" x14ac:dyDescent="0.25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  <c r="AD483" s="135"/>
      <c r="AE483" s="135"/>
      <c r="AF483" s="135"/>
      <c r="AG483" s="135"/>
      <c r="AH483" s="135"/>
      <c r="AI483" s="135"/>
      <c r="AJ483" s="135"/>
      <c r="AK483" s="135"/>
      <c r="AL483" s="135"/>
    </row>
    <row r="484" spans="1:38" ht="13.5" thickBot="1" x14ac:dyDescent="0.25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  <c r="AE484" s="135"/>
      <c r="AF484" s="135"/>
      <c r="AG484" s="135"/>
      <c r="AH484" s="135"/>
      <c r="AI484" s="135"/>
      <c r="AJ484" s="135"/>
      <c r="AK484" s="135"/>
      <c r="AL484" s="135"/>
    </row>
    <row r="485" spans="1:38" ht="13.5" thickBot="1" x14ac:dyDescent="0.2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5"/>
      <c r="AL485" s="135"/>
    </row>
    <row r="486" spans="1:38" ht="13.5" thickBot="1" x14ac:dyDescent="0.25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  <c r="AE486" s="135"/>
      <c r="AF486" s="135"/>
      <c r="AG486" s="135"/>
      <c r="AH486" s="135"/>
      <c r="AI486" s="135"/>
      <c r="AJ486" s="135"/>
      <c r="AK486" s="135"/>
      <c r="AL486" s="135"/>
    </row>
    <row r="487" spans="1:38" ht="13.5" thickBot="1" x14ac:dyDescent="0.25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  <c r="AE487" s="135"/>
      <c r="AF487" s="135"/>
      <c r="AG487" s="135"/>
      <c r="AH487" s="135"/>
      <c r="AI487" s="135"/>
      <c r="AJ487" s="135"/>
      <c r="AK487" s="135"/>
      <c r="AL487" s="135"/>
    </row>
    <row r="488" spans="1:38" ht="13.5" thickBot="1" x14ac:dyDescent="0.25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5"/>
      <c r="AL488" s="135"/>
    </row>
    <row r="489" spans="1:38" ht="13.5" thickBot="1" x14ac:dyDescent="0.25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  <c r="AE489" s="135"/>
      <c r="AF489" s="135"/>
      <c r="AG489" s="135"/>
      <c r="AH489" s="135"/>
      <c r="AI489" s="135"/>
      <c r="AJ489" s="135"/>
      <c r="AK489" s="135"/>
      <c r="AL489" s="135"/>
    </row>
    <row r="490" spans="1:38" ht="13.5" thickBot="1" x14ac:dyDescent="0.25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  <c r="AD490" s="135"/>
      <c r="AE490" s="135"/>
      <c r="AF490" s="135"/>
      <c r="AG490" s="135"/>
      <c r="AH490" s="135"/>
      <c r="AI490" s="135"/>
      <c r="AJ490" s="135"/>
      <c r="AK490" s="135"/>
      <c r="AL490" s="135"/>
    </row>
    <row r="491" spans="1:38" ht="13.5" thickBot="1" x14ac:dyDescent="0.25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  <c r="AD491" s="135"/>
      <c r="AE491" s="135"/>
      <c r="AF491" s="135"/>
      <c r="AG491" s="135"/>
      <c r="AH491" s="135"/>
      <c r="AI491" s="135"/>
      <c r="AJ491" s="135"/>
      <c r="AK491" s="135"/>
      <c r="AL491" s="135"/>
    </row>
    <row r="492" spans="1:38" ht="13.5" thickBot="1" x14ac:dyDescent="0.25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  <c r="AD492" s="135"/>
      <c r="AE492" s="135"/>
      <c r="AF492" s="135"/>
      <c r="AG492" s="135"/>
      <c r="AH492" s="135"/>
      <c r="AI492" s="135"/>
      <c r="AJ492" s="135"/>
      <c r="AK492" s="135"/>
      <c r="AL492" s="135"/>
    </row>
    <row r="493" spans="1:38" ht="13.5" thickBot="1" x14ac:dyDescent="0.25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  <c r="AE493" s="135"/>
      <c r="AF493" s="135"/>
      <c r="AG493" s="135"/>
      <c r="AH493" s="135"/>
      <c r="AI493" s="135"/>
      <c r="AJ493" s="135"/>
      <c r="AK493" s="135"/>
      <c r="AL493" s="135"/>
    </row>
    <row r="494" spans="1:38" ht="13.5" thickBot="1" x14ac:dyDescent="0.25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  <c r="AE494" s="135"/>
      <c r="AF494" s="135"/>
      <c r="AG494" s="135"/>
      <c r="AH494" s="135"/>
      <c r="AI494" s="135"/>
      <c r="AJ494" s="135"/>
      <c r="AK494" s="135"/>
      <c r="AL494" s="135"/>
    </row>
    <row r="495" spans="1:38" ht="13.5" thickBot="1" x14ac:dyDescent="0.2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  <c r="AD495" s="135"/>
      <c r="AE495" s="135"/>
      <c r="AF495" s="135"/>
      <c r="AG495" s="135"/>
      <c r="AH495" s="135"/>
      <c r="AI495" s="135"/>
      <c r="AJ495" s="135"/>
      <c r="AK495" s="135"/>
      <c r="AL495" s="135"/>
    </row>
    <row r="496" spans="1:38" ht="13.5" thickBot="1" x14ac:dyDescent="0.25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  <c r="AD496" s="135"/>
      <c r="AE496" s="135"/>
      <c r="AF496" s="135"/>
      <c r="AG496" s="135"/>
      <c r="AH496" s="135"/>
      <c r="AI496" s="135"/>
      <c r="AJ496" s="135"/>
      <c r="AK496" s="135"/>
      <c r="AL496" s="135"/>
    </row>
    <row r="497" spans="1:38" ht="13.5" thickBot="1" x14ac:dyDescent="0.25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  <c r="AD497" s="135"/>
      <c r="AE497" s="135"/>
      <c r="AF497" s="135"/>
      <c r="AG497" s="135"/>
      <c r="AH497" s="135"/>
      <c r="AI497" s="135"/>
      <c r="AJ497" s="135"/>
      <c r="AK497" s="135"/>
      <c r="AL497" s="135"/>
    </row>
    <row r="498" spans="1:38" ht="13.5" thickBot="1" x14ac:dyDescent="0.25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  <c r="AD498" s="135"/>
      <c r="AE498" s="135"/>
      <c r="AF498" s="135"/>
      <c r="AG498" s="135"/>
      <c r="AH498" s="135"/>
      <c r="AI498" s="135"/>
      <c r="AJ498" s="135"/>
      <c r="AK498" s="135"/>
      <c r="AL498" s="135"/>
    </row>
    <row r="499" spans="1:38" ht="13.5" thickBot="1" x14ac:dyDescent="0.25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  <c r="AD499" s="135"/>
      <c r="AE499" s="135"/>
      <c r="AF499" s="135"/>
      <c r="AG499" s="135"/>
      <c r="AH499" s="135"/>
      <c r="AI499" s="135"/>
      <c r="AJ499" s="135"/>
      <c r="AK499" s="135"/>
      <c r="AL499" s="135"/>
    </row>
    <row r="500" spans="1:38" ht="13.5" thickBot="1" x14ac:dyDescent="0.25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  <c r="AD500" s="135"/>
      <c r="AE500" s="135"/>
      <c r="AF500" s="135"/>
      <c r="AG500" s="135"/>
      <c r="AH500" s="135"/>
      <c r="AI500" s="135"/>
      <c r="AJ500" s="135"/>
      <c r="AK500" s="135"/>
      <c r="AL500" s="135"/>
    </row>
    <row r="501" spans="1:38" ht="13.5" thickBot="1" x14ac:dyDescent="0.25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  <c r="AD501" s="135"/>
      <c r="AE501" s="135"/>
      <c r="AF501" s="135"/>
      <c r="AG501" s="135"/>
      <c r="AH501" s="135"/>
      <c r="AI501" s="135"/>
      <c r="AJ501" s="135"/>
      <c r="AK501" s="135"/>
      <c r="AL501" s="135"/>
    </row>
    <row r="502" spans="1:38" ht="13.5" thickBot="1" x14ac:dyDescent="0.25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  <c r="AD502" s="135"/>
      <c r="AE502" s="135"/>
      <c r="AF502" s="135"/>
      <c r="AG502" s="135"/>
      <c r="AH502" s="135"/>
      <c r="AI502" s="135"/>
      <c r="AJ502" s="135"/>
      <c r="AK502" s="135"/>
      <c r="AL502" s="135"/>
    </row>
    <row r="503" spans="1:38" ht="13.5" thickBot="1" x14ac:dyDescent="0.25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  <c r="AD503" s="135"/>
      <c r="AE503" s="135"/>
      <c r="AF503" s="135"/>
      <c r="AG503" s="135"/>
      <c r="AH503" s="135"/>
      <c r="AI503" s="135"/>
      <c r="AJ503" s="135"/>
      <c r="AK503" s="135"/>
      <c r="AL503" s="135"/>
    </row>
    <row r="504" spans="1:38" ht="13.5" thickBot="1" x14ac:dyDescent="0.25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  <c r="AD504" s="135"/>
      <c r="AE504" s="135"/>
      <c r="AF504" s="135"/>
      <c r="AG504" s="135"/>
      <c r="AH504" s="135"/>
      <c r="AI504" s="135"/>
      <c r="AJ504" s="135"/>
      <c r="AK504" s="135"/>
      <c r="AL504" s="135"/>
    </row>
    <row r="505" spans="1:38" ht="13.5" thickBot="1" x14ac:dyDescent="0.2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5"/>
      <c r="AL505" s="135"/>
    </row>
    <row r="506" spans="1:38" ht="13.5" thickBot="1" x14ac:dyDescent="0.25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  <c r="AD506" s="135"/>
      <c r="AE506" s="135"/>
      <c r="AF506" s="135"/>
      <c r="AG506" s="135"/>
      <c r="AH506" s="135"/>
      <c r="AI506" s="135"/>
      <c r="AJ506" s="135"/>
      <c r="AK506" s="135"/>
      <c r="AL506" s="135"/>
    </row>
    <row r="507" spans="1:38" ht="13.5" thickBot="1" x14ac:dyDescent="0.25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  <c r="AD507" s="135"/>
      <c r="AE507" s="135"/>
      <c r="AF507" s="135"/>
      <c r="AG507" s="135"/>
      <c r="AH507" s="135"/>
      <c r="AI507" s="135"/>
      <c r="AJ507" s="135"/>
      <c r="AK507" s="135"/>
      <c r="AL507" s="135"/>
    </row>
    <row r="508" spans="1:38" ht="13.5" thickBot="1" x14ac:dyDescent="0.25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  <c r="AD508" s="135"/>
      <c r="AE508" s="135"/>
      <c r="AF508" s="135"/>
      <c r="AG508" s="135"/>
      <c r="AH508" s="135"/>
      <c r="AI508" s="135"/>
      <c r="AJ508" s="135"/>
      <c r="AK508" s="135"/>
      <c r="AL508" s="135"/>
    </row>
    <row r="509" spans="1:38" ht="13.5" thickBot="1" x14ac:dyDescent="0.25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  <c r="AD509" s="135"/>
      <c r="AE509" s="135"/>
      <c r="AF509" s="135"/>
      <c r="AG509" s="135"/>
      <c r="AH509" s="135"/>
      <c r="AI509" s="135"/>
      <c r="AJ509" s="135"/>
      <c r="AK509" s="135"/>
      <c r="AL509" s="135"/>
    </row>
    <row r="510" spans="1:38" ht="13.5" thickBot="1" x14ac:dyDescent="0.25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  <c r="AE510" s="135"/>
      <c r="AF510" s="135"/>
      <c r="AG510" s="135"/>
      <c r="AH510" s="135"/>
      <c r="AI510" s="135"/>
      <c r="AJ510" s="135"/>
      <c r="AK510" s="135"/>
      <c r="AL510" s="135"/>
    </row>
    <row r="511" spans="1:38" ht="13.5" thickBot="1" x14ac:dyDescent="0.25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  <c r="AD511" s="135"/>
      <c r="AE511" s="135"/>
      <c r="AF511" s="135"/>
      <c r="AG511" s="135"/>
      <c r="AH511" s="135"/>
      <c r="AI511" s="135"/>
      <c r="AJ511" s="135"/>
      <c r="AK511" s="135"/>
      <c r="AL511" s="135"/>
    </row>
    <row r="512" spans="1:38" ht="13.5" thickBot="1" x14ac:dyDescent="0.25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  <c r="AD512" s="135"/>
      <c r="AE512" s="135"/>
      <c r="AF512" s="135"/>
      <c r="AG512" s="135"/>
      <c r="AH512" s="135"/>
      <c r="AI512" s="135"/>
      <c r="AJ512" s="135"/>
      <c r="AK512" s="135"/>
      <c r="AL512" s="135"/>
    </row>
    <row r="513" spans="1:38" ht="13.5" thickBot="1" x14ac:dyDescent="0.25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  <c r="AE513" s="135"/>
      <c r="AF513" s="135"/>
      <c r="AG513" s="135"/>
      <c r="AH513" s="135"/>
      <c r="AI513" s="135"/>
      <c r="AJ513" s="135"/>
      <c r="AK513" s="135"/>
      <c r="AL513" s="135"/>
    </row>
    <row r="514" spans="1:38" ht="13.5" thickBot="1" x14ac:dyDescent="0.25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  <c r="AD514" s="135"/>
      <c r="AE514" s="135"/>
      <c r="AF514" s="135"/>
      <c r="AG514" s="135"/>
      <c r="AH514" s="135"/>
      <c r="AI514" s="135"/>
      <c r="AJ514" s="135"/>
      <c r="AK514" s="135"/>
      <c r="AL514" s="135"/>
    </row>
    <row r="515" spans="1:38" ht="13.5" thickBot="1" x14ac:dyDescent="0.2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  <c r="AD515" s="135"/>
      <c r="AE515" s="135"/>
      <c r="AF515" s="135"/>
      <c r="AG515" s="135"/>
      <c r="AH515" s="135"/>
      <c r="AI515" s="135"/>
      <c r="AJ515" s="135"/>
      <c r="AK515" s="135"/>
      <c r="AL515" s="135"/>
    </row>
    <row r="516" spans="1:38" ht="13.5" thickBot="1" x14ac:dyDescent="0.25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  <c r="AD516" s="135"/>
      <c r="AE516" s="135"/>
      <c r="AF516" s="135"/>
      <c r="AG516" s="135"/>
      <c r="AH516" s="135"/>
      <c r="AI516" s="135"/>
      <c r="AJ516" s="135"/>
      <c r="AK516" s="135"/>
      <c r="AL516" s="135"/>
    </row>
    <row r="517" spans="1:38" ht="13.5" thickBot="1" x14ac:dyDescent="0.25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  <c r="AD517" s="135"/>
      <c r="AE517" s="135"/>
      <c r="AF517" s="135"/>
      <c r="AG517" s="135"/>
      <c r="AH517" s="135"/>
      <c r="AI517" s="135"/>
      <c r="AJ517" s="135"/>
      <c r="AK517" s="135"/>
      <c r="AL517" s="135"/>
    </row>
    <row r="518" spans="1:38" ht="13.5" thickBot="1" x14ac:dyDescent="0.25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  <c r="AD518" s="135"/>
      <c r="AE518" s="135"/>
      <c r="AF518" s="135"/>
      <c r="AG518" s="135"/>
      <c r="AH518" s="135"/>
      <c r="AI518" s="135"/>
      <c r="AJ518" s="135"/>
      <c r="AK518" s="135"/>
      <c r="AL518" s="135"/>
    </row>
    <row r="519" spans="1:38" ht="13.5" thickBot="1" x14ac:dyDescent="0.25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  <c r="AD519" s="135"/>
      <c r="AE519" s="135"/>
      <c r="AF519" s="135"/>
      <c r="AG519" s="135"/>
      <c r="AH519" s="135"/>
      <c r="AI519" s="135"/>
      <c r="AJ519" s="135"/>
      <c r="AK519" s="135"/>
      <c r="AL519" s="135"/>
    </row>
    <row r="520" spans="1:38" ht="13.5" thickBot="1" x14ac:dyDescent="0.25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  <c r="AD520" s="135"/>
      <c r="AE520" s="135"/>
      <c r="AF520" s="135"/>
      <c r="AG520" s="135"/>
      <c r="AH520" s="135"/>
      <c r="AI520" s="135"/>
      <c r="AJ520" s="135"/>
      <c r="AK520" s="135"/>
      <c r="AL520" s="135"/>
    </row>
    <row r="521" spans="1:38" ht="13.5" thickBot="1" x14ac:dyDescent="0.25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5"/>
      <c r="AL521" s="135"/>
    </row>
    <row r="522" spans="1:38" ht="13.5" thickBot="1" x14ac:dyDescent="0.25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  <c r="AD522" s="135"/>
      <c r="AE522" s="135"/>
      <c r="AF522" s="135"/>
      <c r="AG522" s="135"/>
      <c r="AH522" s="135"/>
      <c r="AI522" s="135"/>
      <c r="AJ522" s="135"/>
      <c r="AK522" s="135"/>
      <c r="AL522" s="135"/>
    </row>
    <row r="523" spans="1:38" ht="13.5" thickBot="1" x14ac:dyDescent="0.25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  <c r="AD523" s="135"/>
      <c r="AE523" s="135"/>
      <c r="AF523" s="135"/>
      <c r="AG523" s="135"/>
      <c r="AH523" s="135"/>
      <c r="AI523" s="135"/>
      <c r="AJ523" s="135"/>
      <c r="AK523" s="135"/>
      <c r="AL523" s="135"/>
    </row>
    <row r="524" spans="1:38" ht="13.5" thickBot="1" x14ac:dyDescent="0.25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  <c r="AD524" s="135"/>
      <c r="AE524" s="135"/>
      <c r="AF524" s="135"/>
      <c r="AG524" s="135"/>
      <c r="AH524" s="135"/>
      <c r="AI524" s="135"/>
      <c r="AJ524" s="135"/>
      <c r="AK524" s="135"/>
      <c r="AL524" s="135"/>
    </row>
    <row r="525" spans="1:38" ht="13.5" thickBot="1" x14ac:dyDescent="0.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5"/>
      <c r="AL525" s="135"/>
    </row>
    <row r="526" spans="1:38" ht="13.5" thickBot="1" x14ac:dyDescent="0.25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  <c r="AD526" s="135"/>
      <c r="AE526" s="135"/>
      <c r="AF526" s="135"/>
      <c r="AG526" s="135"/>
      <c r="AH526" s="135"/>
      <c r="AI526" s="135"/>
      <c r="AJ526" s="135"/>
      <c r="AK526" s="135"/>
      <c r="AL526" s="135"/>
    </row>
    <row r="527" spans="1:38" ht="13.5" thickBot="1" x14ac:dyDescent="0.25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  <c r="AE527" s="135"/>
      <c r="AF527" s="135"/>
      <c r="AG527" s="135"/>
      <c r="AH527" s="135"/>
      <c r="AI527" s="135"/>
      <c r="AJ527" s="135"/>
      <c r="AK527" s="135"/>
      <c r="AL527" s="135"/>
    </row>
    <row r="528" spans="1:38" ht="13.5" thickBot="1" x14ac:dyDescent="0.25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  <c r="AD528" s="135"/>
      <c r="AE528" s="135"/>
      <c r="AF528" s="135"/>
      <c r="AG528" s="135"/>
      <c r="AH528" s="135"/>
      <c r="AI528" s="135"/>
      <c r="AJ528" s="135"/>
      <c r="AK528" s="135"/>
      <c r="AL528" s="135"/>
    </row>
    <row r="529" spans="1:38" ht="13.5" thickBot="1" x14ac:dyDescent="0.25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5"/>
      <c r="AH529" s="135"/>
      <c r="AI529" s="135"/>
      <c r="AJ529" s="135"/>
      <c r="AK529" s="135"/>
      <c r="AL529" s="135"/>
    </row>
    <row r="530" spans="1:38" ht="13.5" thickBot="1" x14ac:dyDescent="0.25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  <c r="AD530" s="135"/>
      <c r="AE530" s="135"/>
      <c r="AF530" s="135"/>
      <c r="AG530" s="135"/>
      <c r="AH530" s="135"/>
      <c r="AI530" s="135"/>
      <c r="AJ530" s="135"/>
      <c r="AK530" s="135"/>
      <c r="AL530" s="135"/>
    </row>
    <row r="531" spans="1:38" ht="13.5" thickBot="1" x14ac:dyDescent="0.25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  <c r="AE531" s="135"/>
      <c r="AF531" s="135"/>
      <c r="AG531" s="135"/>
      <c r="AH531" s="135"/>
      <c r="AI531" s="135"/>
      <c r="AJ531" s="135"/>
      <c r="AK531" s="135"/>
      <c r="AL531" s="135"/>
    </row>
    <row r="532" spans="1:38" ht="13.5" thickBot="1" x14ac:dyDescent="0.25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  <c r="AE532" s="135"/>
      <c r="AF532" s="135"/>
      <c r="AG532" s="135"/>
      <c r="AH532" s="135"/>
      <c r="AI532" s="135"/>
      <c r="AJ532" s="135"/>
      <c r="AK532" s="135"/>
      <c r="AL532" s="135"/>
    </row>
    <row r="533" spans="1:38" ht="13.5" thickBot="1" x14ac:dyDescent="0.25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5"/>
      <c r="AL533" s="135"/>
    </row>
    <row r="534" spans="1:38" ht="13.5" thickBot="1" x14ac:dyDescent="0.25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  <c r="AE534" s="135"/>
      <c r="AF534" s="135"/>
      <c r="AG534" s="135"/>
      <c r="AH534" s="135"/>
      <c r="AI534" s="135"/>
      <c r="AJ534" s="135"/>
      <c r="AK534" s="135"/>
      <c r="AL534" s="135"/>
    </row>
    <row r="535" spans="1:38" ht="13.5" thickBot="1" x14ac:dyDescent="0.2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  <c r="AC535" s="135"/>
      <c r="AD535" s="135"/>
      <c r="AE535" s="135"/>
      <c r="AF535" s="135"/>
      <c r="AG535" s="135"/>
      <c r="AH535" s="135"/>
      <c r="AI535" s="135"/>
      <c r="AJ535" s="135"/>
      <c r="AK535" s="135"/>
      <c r="AL535" s="135"/>
    </row>
    <row r="536" spans="1:38" ht="13.5" thickBot="1" x14ac:dyDescent="0.25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  <c r="AD536" s="135"/>
      <c r="AE536" s="135"/>
      <c r="AF536" s="135"/>
      <c r="AG536" s="135"/>
      <c r="AH536" s="135"/>
      <c r="AI536" s="135"/>
      <c r="AJ536" s="135"/>
      <c r="AK536" s="135"/>
      <c r="AL536" s="135"/>
    </row>
    <row r="537" spans="1:38" ht="13.5" thickBot="1" x14ac:dyDescent="0.25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  <c r="AC537" s="135"/>
      <c r="AD537" s="135"/>
      <c r="AE537" s="135"/>
      <c r="AF537" s="135"/>
      <c r="AG537" s="135"/>
      <c r="AH537" s="135"/>
      <c r="AI537" s="135"/>
      <c r="AJ537" s="135"/>
      <c r="AK537" s="135"/>
      <c r="AL537" s="135"/>
    </row>
    <row r="538" spans="1:38" ht="13.5" thickBot="1" x14ac:dyDescent="0.25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  <c r="AD538" s="135"/>
      <c r="AE538" s="135"/>
      <c r="AF538" s="135"/>
      <c r="AG538" s="135"/>
      <c r="AH538" s="135"/>
      <c r="AI538" s="135"/>
      <c r="AJ538" s="135"/>
      <c r="AK538" s="135"/>
      <c r="AL538" s="135"/>
    </row>
    <row r="539" spans="1:38" ht="13.5" thickBot="1" x14ac:dyDescent="0.25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135"/>
      <c r="AH539" s="135"/>
      <c r="AI539" s="135"/>
      <c r="AJ539" s="135"/>
      <c r="AK539" s="135"/>
      <c r="AL539" s="135"/>
    </row>
    <row r="540" spans="1:38" ht="13.5" thickBot="1" x14ac:dyDescent="0.25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135"/>
      <c r="AH540" s="135"/>
      <c r="AI540" s="135"/>
      <c r="AJ540" s="135"/>
      <c r="AK540" s="135"/>
      <c r="AL540" s="135"/>
    </row>
    <row r="541" spans="1:38" ht="13.5" thickBot="1" x14ac:dyDescent="0.25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135"/>
      <c r="AH541" s="135"/>
      <c r="AI541" s="135"/>
      <c r="AJ541" s="135"/>
      <c r="AK541" s="135"/>
      <c r="AL541" s="135"/>
    </row>
    <row r="542" spans="1:38" ht="13.5" thickBot="1" x14ac:dyDescent="0.25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135"/>
      <c r="AH542" s="135"/>
      <c r="AI542" s="135"/>
      <c r="AJ542" s="135"/>
      <c r="AK542" s="135"/>
      <c r="AL542" s="135"/>
    </row>
    <row r="543" spans="1:38" ht="13.5" thickBot="1" x14ac:dyDescent="0.25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  <c r="AC543" s="135"/>
      <c r="AD543" s="135"/>
      <c r="AE543" s="135"/>
      <c r="AF543" s="135"/>
      <c r="AG543" s="135"/>
      <c r="AH543" s="135"/>
      <c r="AI543" s="135"/>
      <c r="AJ543" s="135"/>
      <c r="AK543" s="135"/>
      <c r="AL543" s="135"/>
    </row>
    <row r="544" spans="1:38" ht="13.5" thickBot="1" x14ac:dyDescent="0.25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  <c r="AC544" s="135"/>
      <c r="AD544" s="135"/>
      <c r="AE544" s="135"/>
      <c r="AF544" s="135"/>
      <c r="AG544" s="135"/>
      <c r="AH544" s="135"/>
      <c r="AI544" s="135"/>
      <c r="AJ544" s="135"/>
      <c r="AK544" s="135"/>
      <c r="AL544" s="135"/>
    </row>
    <row r="545" spans="1:38" ht="13.5" thickBot="1" x14ac:dyDescent="0.2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  <c r="AL545" s="135"/>
    </row>
    <row r="546" spans="1:38" ht="13.5" thickBot="1" x14ac:dyDescent="0.25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  <c r="AC546" s="135"/>
      <c r="AD546" s="135"/>
      <c r="AE546" s="135"/>
      <c r="AF546" s="135"/>
      <c r="AG546" s="135"/>
      <c r="AH546" s="135"/>
      <c r="AI546" s="135"/>
      <c r="AJ546" s="135"/>
      <c r="AK546" s="135"/>
      <c r="AL546" s="135"/>
    </row>
    <row r="547" spans="1:38" ht="13.5" thickBot="1" x14ac:dyDescent="0.25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135"/>
      <c r="AH547" s="135"/>
      <c r="AI547" s="135"/>
      <c r="AJ547" s="135"/>
      <c r="AK547" s="135"/>
      <c r="AL547" s="135"/>
    </row>
    <row r="548" spans="1:38" ht="13.5" thickBot="1" x14ac:dyDescent="0.25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  <c r="AC548" s="135"/>
      <c r="AD548" s="135"/>
      <c r="AE548" s="135"/>
      <c r="AF548" s="135"/>
      <c r="AG548" s="135"/>
      <c r="AH548" s="135"/>
      <c r="AI548" s="135"/>
      <c r="AJ548" s="135"/>
      <c r="AK548" s="135"/>
      <c r="AL548" s="135"/>
    </row>
    <row r="549" spans="1:38" ht="13.5" thickBot="1" x14ac:dyDescent="0.25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  <c r="AC549" s="135"/>
      <c r="AD549" s="135"/>
      <c r="AE549" s="135"/>
      <c r="AF549" s="135"/>
      <c r="AG549" s="135"/>
      <c r="AH549" s="135"/>
      <c r="AI549" s="135"/>
      <c r="AJ549" s="135"/>
      <c r="AK549" s="135"/>
      <c r="AL549" s="135"/>
    </row>
    <row r="550" spans="1:38" ht="13.5" thickBot="1" x14ac:dyDescent="0.25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  <c r="AC550" s="135"/>
      <c r="AD550" s="135"/>
      <c r="AE550" s="135"/>
      <c r="AF550" s="135"/>
      <c r="AG550" s="135"/>
      <c r="AH550" s="135"/>
      <c r="AI550" s="135"/>
      <c r="AJ550" s="135"/>
      <c r="AK550" s="135"/>
      <c r="AL550" s="135"/>
    </row>
    <row r="551" spans="1:38" ht="13.5" thickBot="1" x14ac:dyDescent="0.25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  <c r="AC551" s="135"/>
      <c r="AD551" s="135"/>
      <c r="AE551" s="135"/>
      <c r="AF551" s="135"/>
      <c r="AG551" s="135"/>
      <c r="AH551" s="135"/>
      <c r="AI551" s="135"/>
      <c r="AJ551" s="135"/>
      <c r="AK551" s="135"/>
      <c r="AL551" s="135"/>
    </row>
    <row r="552" spans="1:38" ht="13.5" thickBot="1" x14ac:dyDescent="0.25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  <c r="AC552" s="135"/>
      <c r="AD552" s="135"/>
      <c r="AE552" s="135"/>
      <c r="AF552" s="135"/>
      <c r="AG552" s="135"/>
      <c r="AH552" s="135"/>
      <c r="AI552" s="135"/>
      <c r="AJ552" s="135"/>
      <c r="AK552" s="135"/>
      <c r="AL552" s="135"/>
    </row>
    <row r="553" spans="1:38" ht="13.5" thickBot="1" x14ac:dyDescent="0.25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135"/>
      <c r="AH553" s="135"/>
      <c r="AI553" s="135"/>
      <c r="AJ553" s="135"/>
      <c r="AK553" s="135"/>
      <c r="AL553" s="135"/>
    </row>
    <row r="554" spans="1:38" ht="13.5" thickBot="1" x14ac:dyDescent="0.25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135"/>
      <c r="AH554" s="135"/>
      <c r="AI554" s="135"/>
      <c r="AJ554" s="135"/>
      <c r="AK554" s="135"/>
      <c r="AL554" s="135"/>
    </row>
    <row r="555" spans="1:38" ht="13.5" thickBot="1" x14ac:dyDescent="0.2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  <c r="AC555" s="135"/>
      <c r="AD555" s="135"/>
      <c r="AE555" s="135"/>
      <c r="AF555" s="135"/>
      <c r="AG555" s="135"/>
      <c r="AH555" s="135"/>
      <c r="AI555" s="135"/>
      <c r="AJ555" s="135"/>
      <c r="AK555" s="135"/>
      <c r="AL555" s="135"/>
    </row>
    <row r="556" spans="1:38" ht="13.5" thickBot="1" x14ac:dyDescent="0.25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  <c r="AC556" s="135"/>
      <c r="AD556" s="135"/>
      <c r="AE556" s="135"/>
      <c r="AF556" s="135"/>
      <c r="AG556" s="135"/>
      <c r="AH556" s="135"/>
      <c r="AI556" s="135"/>
      <c r="AJ556" s="135"/>
      <c r="AK556" s="135"/>
      <c r="AL556" s="135"/>
    </row>
    <row r="557" spans="1:38" ht="13.5" thickBot="1" x14ac:dyDescent="0.25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  <c r="AC557" s="135"/>
      <c r="AD557" s="135"/>
      <c r="AE557" s="135"/>
      <c r="AF557" s="135"/>
      <c r="AG557" s="135"/>
      <c r="AH557" s="135"/>
      <c r="AI557" s="135"/>
      <c r="AJ557" s="135"/>
      <c r="AK557" s="135"/>
      <c r="AL557" s="135"/>
    </row>
    <row r="558" spans="1:38" ht="13.5" thickBot="1" x14ac:dyDescent="0.25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  <c r="AC558" s="135"/>
      <c r="AD558" s="135"/>
      <c r="AE558" s="135"/>
      <c r="AF558" s="135"/>
      <c r="AG558" s="135"/>
      <c r="AH558" s="135"/>
      <c r="AI558" s="135"/>
      <c r="AJ558" s="135"/>
      <c r="AK558" s="135"/>
      <c r="AL558" s="135"/>
    </row>
    <row r="559" spans="1:38" ht="13.5" thickBot="1" x14ac:dyDescent="0.25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135"/>
      <c r="AH559" s="135"/>
      <c r="AI559" s="135"/>
      <c r="AJ559" s="135"/>
      <c r="AK559" s="135"/>
      <c r="AL559" s="135"/>
    </row>
    <row r="560" spans="1:38" ht="13.5" thickBot="1" x14ac:dyDescent="0.25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5"/>
      <c r="AL560" s="135"/>
    </row>
    <row r="561" spans="1:38" ht="13.5" thickBot="1" x14ac:dyDescent="0.25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135"/>
      <c r="AH561" s="135"/>
      <c r="AI561" s="135"/>
      <c r="AJ561" s="135"/>
      <c r="AK561" s="135"/>
      <c r="AL561" s="135"/>
    </row>
    <row r="562" spans="1:38" ht="13.5" thickBot="1" x14ac:dyDescent="0.25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135"/>
      <c r="AH562" s="135"/>
      <c r="AI562" s="135"/>
      <c r="AJ562" s="135"/>
      <c r="AK562" s="135"/>
      <c r="AL562" s="135"/>
    </row>
    <row r="563" spans="1:38" ht="13.5" thickBot="1" x14ac:dyDescent="0.25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135"/>
      <c r="AH563" s="135"/>
      <c r="AI563" s="135"/>
      <c r="AJ563" s="135"/>
      <c r="AK563" s="135"/>
      <c r="AL563" s="135"/>
    </row>
    <row r="564" spans="1:38" ht="13.5" thickBot="1" x14ac:dyDescent="0.25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  <c r="AC564" s="135"/>
      <c r="AD564" s="135"/>
      <c r="AE564" s="135"/>
      <c r="AF564" s="135"/>
      <c r="AG564" s="135"/>
      <c r="AH564" s="135"/>
      <c r="AI564" s="135"/>
      <c r="AJ564" s="135"/>
      <c r="AK564" s="135"/>
      <c r="AL564" s="135"/>
    </row>
    <row r="565" spans="1:38" ht="13.5" thickBot="1" x14ac:dyDescent="0.2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5"/>
      <c r="AL565" s="135"/>
    </row>
    <row r="566" spans="1:38" ht="13.5" thickBot="1" x14ac:dyDescent="0.25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  <c r="AC566" s="135"/>
      <c r="AD566" s="135"/>
      <c r="AE566" s="135"/>
      <c r="AF566" s="135"/>
      <c r="AG566" s="135"/>
      <c r="AH566" s="135"/>
      <c r="AI566" s="135"/>
      <c r="AJ566" s="135"/>
      <c r="AK566" s="135"/>
      <c r="AL566" s="135"/>
    </row>
    <row r="567" spans="1:38" ht="13.5" thickBot="1" x14ac:dyDescent="0.25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  <c r="AC567" s="135"/>
      <c r="AD567" s="135"/>
      <c r="AE567" s="135"/>
      <c r="AF567" s="135"/>
      <c r="AG567" s="135"/>
      <c r="AH567" s="135"/>
      <c r="AI567" s="135"/>
      <c r="AJ567" s="135"/>
      <c r="AK567" s="135"/>
      <c r="AL567" s="135"/>
    </row>
    <row r="568" spans="1:38" ht="13.5" thickBot="1" x14ac:dyDescent="0.25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  <c r="AC568" s="135"/>
      <c r="AD568" s="135"/>
      <c r="AE568" s="135"/>
      <c r="AF568" s="135"/>
      <c r="AG568" s="135"/>
      <c r="AH568" s="135"/>
      <c r="AI568" s="135"/>
      <c r="AJ568" s="135"/>
      <c r="AK568" s="135"/>
      <c r="AL568" s="135"/>
    </row>
    <row r="569" spans="1:38" ht="13.5" thickBot="1" x14ac:dyDescent="0.25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  <c r="AC569" s="135"/>
      <c r="AD569" s="135"/>
      <c r="AE569" s="135"/>
      <c r="AF569" s="135"/>
      <c r="AG569" s="135"/>
      <c r="AH569" s="135"/>
      <c r="AI569" s="135"/>
      <c r="AJ569" s="135"/>
      <c r="AK569" s="135"/>
      <c r="AL569" s="135"/>
    </row>
    <row r="570" spans="1:38" ht="13.5" thickBot="1" x14ac:dyDescent="0.25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  <c r="AC570" s="135"/>
      <c r="AD570" s="135"/>
      <c r="AE570" s="135"/>
      <c r="AF570" s="135"/>
      <c r="AG570" s="135"/>
      <c r="AH570" s="135"/>
      <c r="AI570" s="135"/>
      <c r="AJ570" s="135"/>
      <c r="AK570" s="135"/>
      <c r="AL570" s="135"/>
    </row>
    <row r="571" spans="1:38" ht="13.5" thickBot="1" x14ac:dyDescent="0.25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  <c r="AC571" s="135"/>
      <c r="AD571" s="135"/>
      <c r="AE571" s="135"/>
      <c r="AF571" s="135"/>
      <c r="AG571" s="135"/>
      <c r="AH571" s="135"/>
      <c r="AI571" s="135"/>
      <c r="AJ571" s="135"/>
      <c r="AK571" s="135"/>
      <c r="AL571" s="135"/>
    </row>
    <row r="572" spans="1:38" ht="13.5" thickBot="1" x14ac:dyDescent="0.25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  <c r="AC572" s="135"/>
      <c r="AD572" s="135"/>
      <c r="AE572" s="135"/>
      <c r="AF572" s="135"/>
      <c r="AG572" s="135"/>
      <c r="AH572" s="135"/>
      <c r="AI572" s="135"/>
      <c r="AJ572" s="135"/>
      <c r="AK572" s="135"/>
      <c r="AL572" s="135"/>
    </row>
    <row r="573" spans="1:38" ht="13.5" thickBot="1" x14ac:dyDescent="0.25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5"/>
      <c r="AL573" s="135"/>
    </row>
    <row r="574" spans="1:38" ht="13.5" thickBot="1" x14ac:dyDescent="0.25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  <c r="AC574" s="135"/>
      <c r="AD574" s="135"/>
      <c r="AE574" s="135"/>
      <c r="AF574" s="135"/>
      <c r="AG574" s="135"/>
      <c r="AH574" s="135"/>
      <c r="AI574" s="135"/>
      <c r="AJ574" s="135"/>
      <c r="AK574" s="135"/>
      <c r="AL574" s="135"/>
    </row>
    <row r="575" spans="1:38" ht="13.5" thickBot="1" x14ac:dyDescent="0.2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  <c r="AC575" s="135"/>
      <c r="AD575" s="135"/>
      <c r="AE575" s="135"/>
      <c r="AF575" s="135"/>
      <c r="AG575" s="135"/>
      <c r="AH575" s="135"/>
      <c r="AI575" s="135"/>
      <c r="AJ575" s="135"/>
      <c r="AK575" s="135"/>
      <c r="AL575" s="135"/>
    </row>
    <row r="576" spans="1:38" ht="13.5" thickBot="1" x14ac:dyDescent="0.25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135"/>
      <c r="AH576" s="135"/>
      <c r="AI576" s="135"/>
      <c r="AJ576" s="135"/>
      <c r="AK576" s="135"/>
      <c r="AL576" s="135"/>
    </row>
    <row r="577" spans="1:38" ht="13.5" thickBot="1" x14ac:dyDescent="0.25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  <c r="AD577" s="135"/>
      <c r="AE577" s="135"/>
      <c r="AF577" s="135"/>
      <c r="AG577" s="135"/>
      <c r="AH577" s="135"/>
      <c r="AI577" s="135"/>
      <c r="AJ577" s="135"/>
      <c r="AK577" s="135"/>
      <c r="AL577" s="135"/>
    </row>
    <row r="578" spans="1:38" ht="13.5" thickBot="1" x14ac:dyDescent="0.25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  <c r="AC578" s="135"/>
      <c r="AD578" s="135"/>
      <c r="AE578" s="135"/>
      <c r="AF578" s="135"/>
      <c r="AG578" s="135"/>
      <c r="AH578" s="135"/>
      <c r="AI578" s="135"/>
      <c r="AJ578" s="135"/>
      <c r="AK578" s="135"/>
      <c r="AL578" s="135"/>
    </row>
    <row r="579" spans="1:38" ht="13.5" thickBot="1" x14ac:dyDescent="0.25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  <c r="AC579" s="135"/>
      <c r="AD579" s="135"/>
      <c r="AE579" s="135"/>
      <c r="AF579" s="135"/>
      <c r="AG579" s="135"/>
      <c r="AH579" s="135"/>
      <c r="AI579" s="135"/>
      <c r="AJ579" s="135"/>
      <c r="AK579" s="135"/>
      <c r="AL579" s="135"/>
    </row>
    <row r="580" spans="1:38" ht="13.5" thickBot="1" x14ac:dyDescent="0.25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135"/>
      <c r="AH580" s="135"/>
      <c r="AI580" s="135"/>
      <c r="AJ580" s="135"/>
      <c r="AK580" s="135"/>
      <c r="AL580" s="135"/>
    </row>
    <row r="581" spans="1:38" ht="13.5" thickBot="1" x14ac:dyDescent="0.25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  <c r="AC581" s="135"/>
      <c r="AD581" s="135"/>
      <c r="AE581" s="135"/>
      <c r="AF581" s="135"/>
      <c r="AG581" s="135"/>
      <c r="AH581" s="135"/>
      <c r="AI581" s="135"/>
      <c r="AJ581" s="135"/>
      <c r="AK581" s="135"/>
      <c r="AL581" s="135"/>
    </row>
    <row r="582" spans="1:38" ht="13.5" thickBot="1" x14ac:dyDescent="0.25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5"/>
      <c r="AH582" s="135"/>
      <c r="AI582" s="135"/>
      <c r="AJ582" s="135"/>
      <c r="AK582" s="135"/>
      <c r="AL582" s="135"/>
    </row>
    <row r="583" spans="1:38" ht="13.5" thickBot="1" x14ac:dyDescent="0.25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  <c r="AC583" s="135"/>
      <c r="AD583" s="135"/>
      <c r="AE583" s="135"/>
      <c r="AF583" s="135"/>
      <c r="AG583" s="135"/>
      <c r="AH583" s="135"/>
      <c r="AI583" s="135"/>
      <c r="AJ583" s="135"/>
      <c r="AK583" s="135"/>
      <c r="AL583" s="135"/>
    </row>
    <row r="584" spans="1:38" ht="13.5" thickBot="1" x14ac:dyDescent="0.25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  <c r="AC584" s="135"/>
      <c r="AD584" s="135"/>
      <c r="AE584" s="135"/>
      <c r="AF584" s="135"/>
      <c r="AG584" s="135"/>
      <c r="AH584" s="135"/>
      <c r="AI584" s="135"/>
      <c r="AJ584" s="135"/>
      <c r="AK584" s="135"/>
      <c r="AL584" s="135"/>
    </row>
    <row r="585" spans="1:38" ht="13.5" thickBot="1" x14ac:dyDescent="0.2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5"/>
      <c r="AL585" s="135"/>
    </row>
    <row r="586" spans="1:38" ht="13.5" thickBot="1" x14ac:dyDescent="0.25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  <c r="AC586" s="135"/>
      <c r="AD586" s="135"/>
      <c r="AE586" s="135"/>
      <c r="AF586" s="135"/>
      <c r="AG586" s="135"/>
      <c r="AH586" s="135"/>
      <c r="AI586" s="135"/>
      <c r="AJ586" s="135"/>
      <c r="AK586" s="135"/>
      <c r="AL586" s="135"/>
    </row>
    <row r="587" spans="1:38" ht="13.5" thickBot="1" x14ac:dyDescent="0.25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  <c r="AC587" s="135"/>
      <c r="AD587" s="135"/>
      <c r="AE587" s="135"/>
      <c r="AF587" s="135"/>
      <c r="AG587" s="135"/>
      <c r="AH587" s="135"/>
      <c r="AI587" s="135"/>
      <c r="AJ587" s="135"/>
      <c r="AK587" s="135"/>
      <c r="AL587" s="135"/>
    </row>
    <row r="588" spans="1:38" ht="13.5" thickBot="1" x14ac:dyDescent="0.25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  <c r="AC588" s="135"/>
      <c r="AD588" s="135"/>
      <c r="AE588" s="135"/>
      <c r="AF588" s="135"/>
      <c r="AG588" s="135"/>
      <c r="AH588" s="135"/>
      <c r="AI588" s="135"/>
      <c r="AJ588" s="135"/>
      <c r="AK588" s="135"/>
      <c r="AL588" s="135"/>
    </row>
    <row r="589" spans="1:38" ht="13.5" thickBot="1" x14ac:dyDescent="0.25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  <c r="AC589" s="135"/>
      <c r="AD589" s="135"/>
      <c r="AE589" s="135"/>
      <c r="AF589" s="135"/>
      <c r="AG589" s="135"/>
      <c r="AH589" s="135"/>
      <c r="AI589" s="135"/>
      <c r="AJ589" s="135"/>
      <c r="AK589" s="135"/>
      <c r="AL589" s="135"/>
    </row>
    <row r="590" spans="1:38" ht="13.5" thickBot="1" x14ac:dyDescent="0.25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  <c r="AC590" s="135"/>
      <c r="AD590" s="135"/>
      <c r="AE590" s="135"/>
      <c r="AF590" s="135"/>
      <c r="AG590" s="135"/>
      <c r="AH590" s="135"/>
      <c r="AI590" s="135"/>
      <c r="AJ590" s="135"/>
      <c r="AK590" s="135"/>
      <c r="AL590" s="135"/>
    </row>
    <row r="591" spans="1:38" ht="13.5" thickBot="1" x14ac:dyDescent="0.25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  <c r="AC591" s="135"/>
      <c r="AD591" s="135"/>
      <c r="AE591" s="135"/>
      <c r="AF591" s="135"/>
      <c r="AG591" s="135"/>
      <c r="AH591" s="135"/>
      <c r="AI591" s="135"/>
      <c r="AJ591" s="135"/>
      <c r="AK591" s="135"/>
      <c r="AL591" s="135"/>
    </row>
    <row r="592" spans="1:38" ht="13.5" thickBot="1" x14ac:dyDescent="0.25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  <c r="AD592" s="135"/>
      <c r="AE592" s="135"/>
      <c r="AF592" s="135"/>
      <c r="AG592" s="135"/>
      <c r="AH592" s="135"/>
      <c r="AI592" s="135"/>
      <c r="AJ592" s="135"/>
      <c r="AK592" s="135"/>
      <c r="AL592" s="135"/>
    </row>
    <row r="593" spans="1:38" ht="13.5" thickBot="1" x14ac:dyDescent="0.25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  <c r="AD593" s="135"/>
      <c r="AE593" s="135"/>
      <c r="AF593" s="135"/>
      <c r="AG593" s="135"/>
      <c r="AH593" s="135"/>
      <c r="AI593" s="135"/>
      <c r="AJ593" s="135"/>
      <c r="AK593" s="135"/>
      <c r="AL593" s="135"/>
    </row>
    <row r="594" spans="1:38" ht="13.5" thickBot="1" x14ac:dyDescent="0.25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  <c r="AC594" s="135"/>
      <c r="AD594" s="135"/>
      <c r="AE594" s="135"/>
      <c r="AF594" s="135"/>
      <c r="AG594" s="135"/>
      <c r="AH594" s="135"/>
      <c r="AI594" s="135"/>
      <c r="AJ594" s="135"/>
      <c r="AK594" s="135"/>
      <c r="AL594" s="135"/>
    </row>
    <row r="595" spans="1:38" ht="13.5" thickBot="1" x14ac:dyDescent="0.2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35"/>
      <c r="AG595" s="135"/>
      <c r="AH595" s="135"/>
      <c r="AI595" s="135"/>
      <c r="AJ595" s="135"/>
      <c r="AK595" s="135"/>
      <c r="AL595" s="135"/>
    </row>
    <row r="596" spans="1:38" ht="13.5" thickBot="1" x14ac:dyDescent="0.25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35"/>
      <c r="AG596" s="135"/>
      <c r="AH596" s="135"/>
      <c r="AI596" s="135"/>
      <c r="AJ596" s="135"/>
      <c r="AK596" s="135"/>
      <c r="AL596" s="135"/>
    </row>
    <row r="597" spans="1:38" ht="13.5" thickBot="1" x14ac:dyDescent="0.25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  <c r="AD597" s="135"/>
      <c r="AE597" s="135"/>
      <c r="AF597" s="135"/>
      <c r="AG597" s="135"/>
      <c r="AH597" s="135"/>
      <c r="AI597" s="135"/>
      <c r="AJ597" s="135"/>
      <c r="AK597" s="135"/>
      <c r="AL597" s="135"/>
    </row>
    <row r="598" spans="1:38" ht="13.5" thickBot="1" x14ac:dyDescent="0.25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  <c r="AC598" s="135"/>
      <c r="AD598" s="135"/>
      <c r="AE598" s="135"/>
      <c r="AF598" s="135"/>
      <c r="AG598" s="135"/>
      <c r="AH598" s="135"/>
      <c r="AI598" s="135"/>
      <c r="AJ598" s="135"/>
      <c r="AK598" s="135"/>
      <c r="AL598" s="135"/>
    </row>
    <row r="599" spans="1:38" ht="13.5" thickBot="1" x14ac:dyDescent="0.25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  <c r="AC599" s="135"/>
      <c r="AD599" s="135"/>
      <c r="AE599" s="135"/>
      <c r="AF599" s="135"/>
      <c r="AG599" s="135"/>
      <c r="AH599" s="135"/>
      <c r="AI599" s="135"/>
      <c r="AJ599" s="135"/>
      <c r="AK599" s="135"/>
      <c r="AL599" s="135"/>
    </row>
    <row r="600" spans="1:38" ht="13.5" thickBot="1" x14ac:dyDescent="0.25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  <c r="AC600" s="135"/>
      <c r="AD600" s="135"/>
      <c r="AE600" s="135"/>
      <c r="AF600" s="135"/>
      <c r="AG600" s="135"/>
      <c r="AH600" s="135"/>
      <c r="AI600" s="135"/>
      <c r="AJ600" s="135"/>
      <c r="AK600" s="135"/>
      <c r="AL600" s="135"/>
    </row>
    <row r="601" spans="1:38" ht="13.5" thickBot="1" x14ac:dyDescent="0.25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  <c r="AD601" s="135"/>
      <c r="AE601" s="135"/>
      <c r="AF601" s="135"/>
      <c r="AG601" s="135"/>
      <c r="AH601" s="135"/>
      <c r="AI601" s="135"/>
      <c r="AJ601" s="135"/>
      <c r="AK601" s="135"/>
      <c r="AL601" s="135"/>
    </row>
    <row r="602" spans="1:38" ht="13.5" thickBot="1" x14ac:dyDescent="0.25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  <c r="AC602" s="135"/>
      <c r="AD602" s="135"/>
      <c r="AE602" s="135"/>
      <c r="AF602" s="135"/>
      <c r="AG602" s="135"/>
      <c r="AH602" s="135"/>
      <c r="AI602" s="135"/>
      <c r="AJ602" s="135"/>
      <c r="AK602" s="135"/>
      <c r="AL602" s="135"/>
    </row>
    <row r="603" spans="1:38" ht="13.5" thickBot="1" x14ac:dyDescent="0.25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  <c r="AC603" s="135"/>
      <c r="AD603" s="135"/>
      <c r="AE603" s="135"/>
      <c r="AF603" s="135"/>
      <c r="AG603" s="135"/>
      <c r="AH603" s="135"/>
      <c r="AI603" s="135"/>
      <c r="AJ603" s="135"/>
      <c r="AK603" s="135"/>
      <c r="AL603" s="135"/>
    </row>
    <row r="604" spans="1:38" ht="13.5" thickBot="1" x14ac:dyDescent="0.25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  <c r="AC604" s="135"/>
      <c r="AD604" s="135"/>
      <c r="AE604" s="135"/>
      <c r="AF604" s="135"/>
      <c r="AG604" s="135"/>
      <c r="AH604" s="135"/>
      <c r="AI604" s="135"/>
      <c r="AJ604" s="135"/>
      <c r="AK604" s="135"/>
      <c r="AL604" s="135"/>
    </row>
    <row r="605" spans="1:38" ht="13.5" thickBot="1" x14ac:dyDescent="0.2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5"/>
      <c r="AL605" s="135"/>
    </row>
    <row r="606" spans="1:38" ht="13.5" thickBot="1" x14ac:dyDescent="0.25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  <c r="AC606" s="135"/>
      <c r="AD606" s="135"/>
      <c r="AE606" s="135"/>
      <c r="AF606" s="135"/>
      <c r="AG606" s="135"/>
      <c r="AH606" s="135"/>
      <c r="AI606" s="135"/>
      <c r="AJ606" s="135"/>
      <c r="AK606" s="135"/>
      <c r="AL606" s="135"/>
    </row>
    <row r="607" spans="1:38" ht="13.5" thickBot="1" x14ac:dyDescent="0.25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  <c r="AC607" s="135"/>
      <c r="AD607" s="135"/>
      <c r="AE607" s="135"/>
      <c r="AF607" s="135"/>
      <c r="AG607" s="135"/>
      <c r="AH607" s="135"/>
      <c r="AI607" s="135"/>
      <c r="AJ607" s="135"/>
      <c r="AK607" s="135"/>
      <c r="AL607" s="135"/>
    </row>
    <row r="608" spans="1:38" ht="13.5" thickBot="1" x14ac:dyDescent="0.25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  <c r="AD608" s="135"/>
      <c r="AE608" s="135"/>
      <c r="AF608" s="135"/>
      <c r="AG608" s="135"/>
      <c r="AH608" s="135"/>
      <c r="AI608" s="135"/>
      <c r="AJ608" s="135"/>
      <c r="AK608" s="135"/>
      <c r="AL608" s="135"/>
    </row>
    <row r="609" spans="1:38" ht="13.5" thickBot="1" x14ac:dyDescent="0.25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  <c r="AE609" s="135"/>
      <c r="AF609" s="135"/>
      <c r="AG609" s="135"/>
      <c r="AH609" s="135"/>
      <c r="AI609" s="135"/>
      <c r="AJ609" s="135"/>
      <c r="AK609" s="135"/>
      <c r="AL609" s="135"/>
    </row>
    <row r="610" spans="1:38" ht="13.5" thickBot="1" x14ac:dyDescent="0.25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  <c r="AD610" s="135"/>
      <c r="AE610" s="135"/>
      <c r="AF610" s="135"/>
      <c r="AG610" s="135"/>
      <c r="AH610" s="135"/>
      <c r="AI610" s="135"/>
      <c r="AJ610" s="135"/>
      <c r="AK610" s="135"/>
      <c r="AL610" s="135"/>
    </row>
    <row r="611" spans="1:38" ht="13.5" thickBot="1" x14ac:dyDescent="0.25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  <c r="AD611" s="135"/>
      <c r="AE611" s="135"/>
      <c r="AF611" s="135"/>
      <c r="AG611" s="135"/>
      <c r="AH611" s="135"/>
      <c r="AI611" s="135"/>
      <c r="AJ611" s="135"/>
      <c r="AK611" s="135"/>
      <c r="AL611" s="135"/>
    </row>
    <row r="612" spans="1:38" ht="13.5" thickBot="1" x14ac:dyDescent="0.25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  <c r="AD612" s="135"/>
      <c r="AE612" s="135"/>
      <c r="AF612" s="135"/>
      <c r="AG612" s="135"/>
      <c r="AH612" s="135"/>
      <c r="AI612" s="135"/>
      <c r="AJ612" s="135"/>
      <c r="AK612" s="135"/>
      <c r="AL612" s="135"/>
    </row>
    <row r="613" spans="1:38" ht="13.5" thickBot="1" x14ac:dyDescent="0.25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5"/>
      <c r="AL613" s="135"/>
    </row>
    <row r="614" spans="1:38" ht="13.5" thickBot="1" x14ac:dyDescent="0.25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5"/>
      <c r="AL614" s="135"/>
    </row>
    <row r="615" spans="1:38" ht="13.5" thickBot="1" x14ac:dyDescent="0.2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  <c r="AD615" s="135"/>
      <c r="AE615" s="135"/>
      <c r="AF615" s="135"/>
      <c r="AG615" s="135"/>
      <c r="AH615" s="135"/>
      <c r="AI615" s="135"/>
      <c r="AJ615" s="135"/>
      <c r="AK615" s="135"/>
      <c r="AL615" s="135"/>
    </row>
    <row r="616" spans="1:38" ht="13.5" thickBot="1" x14ac:dyDescent="0.25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  <c r="AD616" s="135"/>
      <c r="AE616" s="135"/>
      <c r="AF616" s="135"/>
      <c r="AG616" s="135"/>
      <c r="AH616" s="135"/>
      <c r="AI616" s="135"/>
      <c r="AJ616" s="135"/>
      <c r="AK616" s="135"/>
      <c r="AL616" s="135"/>
    </row>
    <row r="617" spans="1:38" ht="13.5" thickBot="1" x14ac:dyDescent="0.25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  <c r="AD617" s="135"/>
      <c r="AE617" s="135"/>
      <c r="AF617" s="135"/>
      <c r="AG617" s="135"/>
      <c r="AH617" s="135"/>
      <c r="AI617" s="135"/>
      <c r="AJ617" s="135"/>
      <c r="AK617" s="135"/>
      <c r="AL617" s="135"/>
    </row>
    <row r="618" spans="1:38" ht="13.5" thickBot="1" x14ac:dyDescent="0.25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  <c r="AD618" s="135"/>
      <c r="AE618" s="135"/>
      <c r="AF618" s="135"/>
      <c r="AG618" s="135"/>
      <c r="AH618" s="135"/>
      <c r="AI618" s="135"/>
      <c r="AJ618" s="135"/>
      <c r="AK618" s="135"/>
      <c r="AL618" s="135"/>
    </row>
    <row r="619" spans="1:38" ht="13.5" thickBot="1" x14ac:dyDescent="0.25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135"/>
      <c r="AH619" s="135"/>
      <c r="AI619" s="135"/>
      <c r="AJ619" s="135"/>
      <c r="AK619" s="135"/>
      <c r="AL619" s="135"/>
    </row>
    <row r="620" spans="1:38" ht="13.5" thickBot="1" x14ac:dyDescent="0.25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  <c r="AC620" s="135"/>
      <c r="AD620" s="135"/>
      <c r="AE620" s="135"/>
      <c r="AF620" s="135"/>
      <c r="AG620" s="135"/>
      <c r="AH620" s="135"/>
      <c r="AI620" s="135"/>
      <c r="AJ620" s="135"/>
      <c r="AK620" s="135"/>
      <c r="AL620" s="135"/>
    </row>
    <row r="621" spans="1:38" ht="13.5" thickBot="1" x14ac:dyDescent="0.25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  <c r="AD621" s="135"/>
      <c r="AE621" s="135"/>
      <c r="AF621" s="135"/>
      <c r="AG621" s="135"/>
      <c r="AH621" s="135"/>
      <c r="AI621" s="135"/>
      <c r="AJ621" s="135"/>
      <c r="AK621" s="135"/>
      <c r="AL621" s="135"/>
    </row>
    <row r="622" spans="1:38" ht="13.5" thickBot="1" x14ac:dyDescent="0.25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  <c r="AC622" s="135"/>
      <c r="AD622" s="135"/>
      <c r="AE622" s="135"/>
      <c r="AF622" s="135"/>
      <c r="AG622" s="135"/>
      <c r="AH622" s="135"/>
      <c r="AI622" s="135"/>
      <c r="AJ622" s="135"/>
      <c r="AK622" s="135"/>
      <c r="AL622" s="135"/>
    </row>
    <row r="623" spans="1:38" ht="13.5" thickBot="1" x14ac:dyDescent="0.25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  <c r="AC623" s="135"/>
      <c r="AD623" s="135"/>
      <c r="AE623" s="135"/>
      <c r="AF623" s="135"/>
      <c r="AG623" s="135"/>
      <c r="AH623" s="135"/>
      <c r="AI623" s="135"/>
      <c r="AJ623" s="135"/>
      <c r="AK623" s="135"/>
      <c r="AL623" s="135"/>
    </row>
    <row r="624" spans="1:38" ht="13.5" thickBot="1" x14ac:dyDescent="0.25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  <c r="AD624" s="135"/>
      <c r="AE624" s="135"/>
      <c r="AF624" s="135"/>
      <c r="AG624" s="135"/>
      <c r="AH624" s="135"/>
      <c r="AI624" s="135"/>
      <c r="AJ624" s="135"/>
      <c r="AK624" s="135"/>
      <c r="AL624" s="135"/>
    </row>
    <row r="625" spans="1:38" ht="13.5" thickBot="1" x14ac:dyDescent="0.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5"/>
      <c r="AL625" s="135"/>
    </row>
    <row r="626" spans="1:38" ht="13.5" thickBot="1" x14ac:dyDescent="0.25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  <c r="AD626" s="135"/>
      <c r="AE626" s="135"/>
      <c r="AF626" s="135"/>
      <c r="AG626" s="135"/>
      <c r="AH626" s="135"/>
      <c r="AI626" s="135"/>
      <c r="AJ626" s="135"/>
      <c r="AK626" s="135"/>
      <c r="AL626" s="135"/>
    </row>
    <row r="627" spans="1:38" ht="13.5" thickBot="1" x14ac:dyDescent="0.25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  <c r="AD627" s="135"/>
      <c r="AE627" s="135"/>
      <c r="AF627" s="135"/>
      <c r="AG627" s="135"/>
      <c r="AH627" s="135"/>
      <c r="AI627" s="135"/>
      <c r="AJ627" s="135"/>
      <c r="AK627" s="135"/>
      <c r="AL627" s="135"/>
    </row>
    <row r="628" spans="1:38" ht="13.5" thickBot="1" x14ac:dyDescent="0.25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  <c r="AC628" s="135"/>
      <c r="AD628" s="135"/>
      <c r="AE628" s="135"/>
      <c r="AF628" s="135"/>
      <c r="AG628" s="135"/>
      <c r="AH628" s="135"/>
      <c r="AI628" s="135"/>
      <c r="AJ628" s="135"/>
      <c r="AK628" s="135"/>
      <c r="AL628" s="135"/>
    </row>
    <row r="629" spans="1:38" ht="13.5" thickBot="1" x14ac:dyDescent="0.25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  <c r="AD629" s="135"/>
      <c r="AE629" s="135"/>
      <c r="AF629" s="135"/>
      <c r="AG629" s="135"/>
      <c r="AH629" s="135"/>
      <c r="AI629" s="135"/>
      <c r="AJ629" s="135"/>
      <c r="AK629" s="135"/>
      <c r="AL629" s="135"/>
    </row>
    <row r="630" spans="1:38" ht="13.5" thickBot="1" x14ac:dyDescent="0.25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  <c r="AD630" s="135"/>
      <c r="AE630" s="135"/>
      <c r="AF630" s="135"/>
      <c r="AG630" s="135"/>
      <c r="AH630" s="135"/>
      <c r="AI630" s="135"/>
      <c r="AJ630" s="135"/>
      <c r="AK630" s="135"/>
      <c r="AL630" s="135"/>
    </row>
    <row r="631" spans="1:38" ht="13.5" thickBot="1" x14ac:dyDescent="0.25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  <c r="AD631" s="135"/>
      <c r="AE631" s="135"/>
      <c r="AF631" s="135"/>
      <c r="AG631" s="135"/>
      <c r="AH631" s="135"/>
      <c r="AI631" s="135"/>
      <c r="AJ631" s="135"/>
      <c r="AK631" s="135"/>
      <c r="AL631" s="135"/>
    </row>
    <row r="632" spans="1:38" ht="13.5" thickBot="1" x14ac:dyDescent="0.25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  <c r="AD632" s="135"/>
      <c r="AE632" s="135"/>
      <c r="AF632" s="135"/>
      <c r="AG632" s="135"/>
      <c r="AH632" s="135"/>
      <c r="AI632" s="135"/>
      <c r="AJ632" s="135"/>
      <c r="AK632" s="135"/>
      <c r="AL632" s="135"/>
    </row>
    <row r="633" spans="1:38" ht="13.5" thickBot="1" x14ac:dyDescent="0.25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  <c r="AE633" s="135"/>
      <c r="AF633" s="135"/>
      <c r="AG633" s="135"/>
      <c r="AH633" s="135"/>
      <c r="AI633" s="135"/>
      <c r="AJ633" s="135"/>
      <c r="AK633" s="135"/>
      <c r="AL633" s="135"/>
    </row>
    <row r="634" spans="1:38" ht="13.5" thickBot="1" x14ac:dyDescent="0.25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  <c r="AD634" s="135"/>
      <c r="AE634" s="135"/>
      <c r="AF634" s="135"/>
      <c r="AG634" s="135"/>
      <c r="AH634" s="135"/>
      <c r="AI634" s="135"/>
      <c r="AJ634" s="135"/>
      <c r="AK634" s="135"/>
      <c r="AL634" s="135"/>
    </row>
    <row r="635" spans="1:38" ht="13.5" thickBot="1" x14ac:dyDescent="0.2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5"/>
      <c r="AH635" s="135"/>
      <c r="AI635" s="135"/>
      <c r="AJ635" s="135"/>
      <c r="AK635" s="135"/>
      <c r="AL635" s="135"/>
    </row>
    <row r="636" spans="1:38" ht="13.5" thickBot="1" x14ac:dyDescent="0.25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  <c r="AD636" s="135"/>
      <c r="AE636" s="135"/>
      <c r="AF636" s="135"/>
      <c r="AG636" s="135"/>
      <c r="AH636" s="135"/>
      <c r="AI636" s="135"/>
      <c r="AJ636" s="135"/>
      <c r="AK636" s="135"/>
      <c r="AL636" s="135"/>
    </row>
    <row r="637" spans="1:38" ht="13.5" thickBot="1" x14ac:dyDescent="0.25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  <c r="AE637" s="135"/>
      <c r="AF637" s="135"/>
      <c r="AG637" s="135"/>
      <c r="AH637" s="135"/>
      <c r="AI637" s="135"/>
      <c r="AJ637" s="135"/>
      <c r="AK637" s="135"/>
      <c r="AL637" s="135"/>
    </row>
    <row r="638" spans="1:38" ht="13.5" thickBot="1" x14ac:dyDescent="0.25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  <c r="AD638" s="135"/>
      <c r="AE638" s="135"/>
      <c r="AF638" s="135"/>
      <c r="AG638" s="135"/>
      <c r="AH638" s="135"/>
      <c r="AI638" s="135"/>
      <c r="AJ638" s="135"/>
      <c r="AK638" s="135"/>
      <c r="AL638" s="135"/>
    </row>
    <row r="639" spans="1:38" ht="13.5" thickBot="1" x14ac:dyDescent="0.25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  <c r="AC639" s="135"/>
      <c r="AD639" s="135"/>
      <c r="AE639" s="135"/>
      <c r="AF639" s="135"/>
      <c r="AG639" s="135"/>
      <c r="AH639" s="135"/>
      <c r="AI639" s="135"/>
      <c r="AJ639" s="135"/>
      <c r="AK639" s="135"/>
      <c r="AL639" s="135"/>
    </row>
    <row r="640" spans="1:38" ht="13.5" thickBot="1" x14ac:dyDescent="0.25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  <c r="AC640" s="135"/>
      <c r="AD640" s="135"/>
      <c r="AE640" s="135"/>
      <c r="AF640" s="135"/>
      <c r="AG640" s="135"/>
      <c r="AH640" s="135"/>
      <c r="AI640" s="135"/>
      <c r="AJ640" s="135"/>
      <c r="AK640" s="135"/>
      <c r="AL640" s="135"/>
    </row>
    <row r="641" spans="1:38" ht="13.5" thickBot="1" x14ac:dyDescent="0.25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  <c r="AC641" s="135"/>
      <c r="AD641" s="135"/>
      <c r="AE641" s="135"/>
      <c r="AF641" s="135"/>
      <c r="AG641" s="135"/>
      <c r="AH641" s="135"/>
      <c r="AI641" s="135"/>
      <c r="AJ641" s="135"/>
      <c r="AK641" s="135"/>
      <c r="AL641" s="135"/>
    </row>
    <row r="642" spans="1:38" ht="13.5" thickBot="1" x14ac:dyDescent="0.25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  <c r="AC642" s="135"/>
      <c r="AD642" s="135"/>
      <c r="AE642" s="135"/>
      <c r="AF642" s="135"/>
      <c r="AG642" s="135"/>
      <c r="AH642" s="135"/>
      <c r="AI642" s="135"/>
      <c r="AJ642" s="135"/>
      <c r="AK642" s="135"/>
      <c r="AL642" s="135"/>
    </row>
    <row r="643" spans="1:38" ht="13.5" thickBot="1" x14ac:dyDescent="0.25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  <c r="AC643" s="135"/>
      <c r="AD643" s="135"/>
      <c r="AE643" s="135"/>
      <c r="AF643" s="135"/>
      <c r="AG643" s="135"/>
      <c r="AH643" s="135"/>
      <c r="AI643" s="135"/>
      <c r="AJ643" s="135"/>
      <c r="AK643" s="135"/>
      <c r="AL643" s="135"/>
    </row>
    <row r="644" spans="1:38" ht="13.5" thickBot="1" x14ac:dyDescent="0.25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  <c r="AC644" s="135"/>
      <c r="AD644" s="135"/>
      <c r="AE644" s="135"/>
      <c r="AF644" s="135"/>
      <c r="AG644" s="135"/>
      <c r="AH644" s="135"/>
      <c r="AI644" s="135"/>
      <c r="AJ644" s="135"/>
      <c r="AK644" s="135"/>
      <c r="AL644" s="135"/>
    </row>
    <row r="645" spans="1:38" ht="13.5" thickBot="1" x14ac:dyDescent="0.2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5"/>
      <c r="AL645" s="135"/>
    </row>
    <row r="646" spans="1:38" ht="13.5" thickBot="1" x14ac:dyDescent="0.25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  <c r="AC646" s="135"/>
      <c r="AD646" s="135"/>
      <c r="AE646" s="135"/>
      <c r="AF646" s="135"/>
      <c r="AG646" s="135"/>
      <c r="AH646" s="135"/>
      <c r="AI646" s="135"/>
      <c r="AJ646" s="135"/>
      <c r="AK646" s="135"/>
      <c r="AL646" s="135"/>
    </row>
    <row r="647" spans="1:38" ht="13.5" thickBot="1" x14ac:dyDescent="0.25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  <c r="AC647" s="135"/>
      <c r="AD647" s="135"/>
      <c r="AE647" s="135"/>
      <c r="AF647" s="135"/>
      <c r="AG647" s="135"/>
      <c r="AH647" s="135"/>
      <c r="AI647" s="135"/>
      <c r="AJ647" s="135"/>
      <c r="AK647" s="135"/>
      <c r="AL647" s="135"/>
    </row>
    <row r="648" spans="1:38" ht="13.5" thickBot="1" x14ac:dyDescent="0.25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  <c r="AD648" s="135"/>
      <c r="AE648" s="135"/>
      <c r="AF648" s="135"/>
      <c r="AG648" s="135"/>
      <c r="AH648" s="135"/>
      <c r="AI648" s="135"/>
      <c r="AJ648" s="135"/>
      <c r="AK648" s="135"/>
      <c r="AL648" s="135"/>
    </row>
    <row r="649" spans="1:38" ht="13.5" thickBot="1" x14ac:dyDescent="0.25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5"/>
      <c r="AL649" s="135"/>
    </row>
    <row r="650" spans="1:38" ht="13.5" thickBot="1" x14ac:dyDescent="0.25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  <c r="AD650" s="135"/>
      <c r="AE650" s="135"/>
      <c r="AF650" s="135"/>
      <c r="AG650" s="135"/>
      <c r="AH650" s="135"/>
      <c r="AI650" s="135"/>
      <c r="AJ650" s="135"/>
      <c r="AK650" s="135"/>
      <c r="AL650" s="135"/>
    </row>
    <row r="651" spans="1:38" ht="13.5" thickBot="1" x14ac:dyDescent="0.25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  <c r="AD651" s="135"/>
      <c r="AE651" s="135"/>
      <c r="AF651" s="135"/>
      <c r="AG651" s="135"/>
      <c r="AH651" s="135"/>
      <c r="AI651" s="135"/>
      <c r="AJ651" s="135"/>
      <c r="AK651" s="135"/>
      <c r="AL651" s="135"/>
    </row>
    <row r="652" spans="1:38" ht="13.5" thickBot="1" x14ac:dyDescent="0.25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  <c r="AE652" s="135"/>
      <c r="AF652" s="135"/>
      <c r="AG652" s="135"/>
      <c r="AH652" s="135"/>
      <c r="AI652" s="135"/>
      <c r="AJ652" s="135"/>
      <c r="AK652" s="135"/>
      <c r="AL652" s="135"/>
    </row>
    <row r="653" spans="1:38" ht="13.5" thickBot="1" x14ac:dyDescent="0.25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5"/>
      <c r="AL653" s="135"/>
    </row>
    <row r="654" spans="1:38" ht="13.5" thickBot="1" x14ac:dyDescent="0.25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  <c r="AE654" s="135"/>
      <c r="AF654" s="135"/>
      <c r="AG654" s="135"/>
      <c r="AH654" s="135"/>
      <c r="AI654" s="135"/>
      <c r="AJ654" s="135"/>
      <c r="AK654" s="135"/>
      <c r="AL654" s="135"/>
    </row>
    <row r="655" spans="1:38" ht="13.5" thickBot="1" x14ac:dyDescent="0.2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  <c r="AE655" s="135"/>
      <c r="AF655" s="135"/>
      <c r="AG655" s="135"/>
      <c r="AH655" s="135"/>
      <c r="AI655" s="135"/>
      <c r="AJ655" s="135"/>
      <c r="AK655" s="135"/>
      <c r="AL655" s="135"/>
    </row>
    <row r="656" spans="1:38" ht="13.5" thickBot="1" x14ac:dyDescent="0.25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  <c r="AD656" s="135"/>
      <c r="AE656" s="135"/>
      <c r="AF656" s="135"/>
      <c r="AG656" s="135"/>
      <c r="AH656" s="135"/>
      <c r="AI656" s="135"/>
      <c r="AJ656" s="135"/>
      <c r="AK656" s="135"/>
      <c r="AL656" s="135"/>
    </row>
    <row r="657" spans="1:38" ht="13.5" thickBot="1" x14ac:dyDescent="0.25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  <c r="AD657" s="135"/>
      <c r="AE657" s="135"/>
      <c r="AF657" s="135"/>
      <c r="AG657" s="135"/>
      <c r="AH657" s="135"/>
      <c r="AI657" s="135"/>
      <c r="AJ657" s="135"/>
      <c r="AK657" s="135"/>
      <c r="AL657" s="135"/>
    </row>
    <row r="658" spans="1:38" ht="13.5" thickBot="1" x14ac:dyDescent="0.25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  <c r="AC658" s="135"/>
      <c r="AD658" s="135"/>
      <c r="AE658" s="135"/>
      <c r="AF658" s="135"/>
      <c r="AG658" s="135"/>
      <c r="AH658" s="135"/>
      <c r="AI658" s="135"/>
      <c r="AJ658" s="135"/>
      <c r="AK658" s="135"/>
      <c r="AL658" s="135"/>
    </row>
    <row r="659" spans="1:38" ht="13.5" thickBot="1" x14ac:dyDescent="0.25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  <c r="AC659" s="135"/>
      <c r="AD659" s="135"/>
      <c r="AE659" s="135"/>
      <c r="AF659" s="135"/>
      <c r="AG659" s="135"/>
      <c r="AH659" s="135"/>
      <c r="AI659" s="135"/>
      <c r="AJ659" s="135"/>
      <c r="AK659" s="135"/>
      <c r="AL659" s="135"/>
    </row>
    <row r="660" spans="1:38" ht="13.5" thickBot="1" x14ac:dyDescent="0.25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  <c r="AC660" s="135"/>
      <c r="AD660" s="135"/>
      <c r="AE660" s="135"/>
      <c r="AF660" s="135"/>
      <c r="AG660" s="135"/>
      <c r="AH660" s="135"/>
      <c r="AI660" s="135"/>
      <c r="AJ660" s="135"/>
      <c r="AK660" s="135"/>
      <c r="AL660" s="135"/>
    </row>
    <row r="661" spans="1:38" ht="13.5" thickBot="1" x14ac:dyDescent="0.25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  <c r="AC661" s="135"/>
      <c r="AD661" s="135"/>
      <c r="AE661" s="135"/>
      <c r="AF661" s="135"/>
      <c r="AG661" s="135"/>
      <c r="AH661" s="135"/>
      <c r="AI661" s="135"/>
      <c r="AJ661" s="135"/>
      <c r="AK661" s="135"/>
      <c r="AL661" s="135"/>
    </row>
    <row r="662" spans="1:38" ht="13.5" thickBot="1" x14ac:dyDescent="0.25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  <c r="AD662" s="135"/>
      <c r="AE662" s="135"/>
      <c r="AF662" s="135"/>
      <c r="AG662" s="135"/>
      <c r="AH662" s="135"/>
      <c r="AI662" s="135"/>
      <c r="AJ662" s="135"/>
      <c r="AK662" s="135"/>
      <c r="AL662" s="135"/>
    </row>
    <row r="663" spans="1:38" ht="13.5" thickBot="1" x14ac:dyDescent="0.25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  <c r="AD663" s="135"/>
      <c r="AE663" s="135"/>
      <c r="AF663" s="135"/>
      <c r="AG663" s="135"/>
      <c r="AH663" s="135"/>
      <c r="AI663" s="135"/>
      <c r="AJ663" s="135"/>
      <c r="AK663" s="135"/>
      <c r="AL663" s="135"/>
    </row>
    <row r="664" spans="1:38" ht="13.5" thickBot="1" x14ac:dyDescent="0.25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  <c r="AC664" s="135"/>
      <c r="AD664" s="135"/>
      <c r="AE664" s="135"/>
      <c r="AF664" s="135"/>
      <c r="AG664" s="135"/>
      <c r="AH664" s="135"/>
      <c r="AI664" s="135"/>
      <c r="AJ664" s="135"/>
      <c r="AK664" s="135"/>
      <c r="AL664" s="135"/>
    </row>
    <row r="665" spans="1:38" ht="13.5" thickBot="1" x14ac:dyDescent="0.2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  <c r="AC665" s="135"/>
      <c r="AD665" s="135"/>
      <c r="AE665" s="135"/>
      <c r="AF665" s="135"/>
      <c r="AG665" s="135"/>
      <c r="AH665" s="135"/>
      <c r="AI665" s="135"/>
      <c r="AJ665" s="135"/>
      <c r="AK665" s="135"/>
      <c r="AL665" s="135"/>
    </row>
    <row r="666" spans="1:38" ht="13.5" thickBot="1" x14ac:dyDescent="0.25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  <c r="AL666" s="135"/>
    </row>
    <row r="667" spans="1:38" ht="13.5" thickBot="1" x14ac:dyDescent="0.25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  <c r="AC667" s="135"/>
      <c r="AD667" s="135"/>
      <c r="AE667" s="135"/>
      <c r="AF667" s="135"/>
      <c r="AG667" s="135"/>
      <c r="AH667" s="135"/>
      <c r="AI667" s="135"/>
      <c r="AJ667" s="135"/>
      <c r="AK667" s="135"/>
      <c r="AL667" s="135"/>
    </row>
    <row r="668" spans="1:38" ht="13.5" thickBot="1" x14ac:dyDescent="0.25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  <c r="AC668" s="135"/>
      <c r="AD668" s="135"/>
      <c r="AE668" s="135"/>
      <c r="AF668" s="135"/>
      <c r="AG668" s="135"/>
      <c r="AH668" s="135"/>
      <c r="AI668" s="135"/>
      <c r="AJ668" s="135"/>
      <c r="AK668" s="135"/>
      <c r="AL668" s="135"/>
    </row>
    <row r="669" spans="1:38" ht="13.5" thickBot="1" x14ac:dyDescent="0.25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  <c r="AC669" s="135"/>
      <c r="AD669" s="135"/>
      <c r="AE669" s="135"/>
      <c r="AF669" s="135"/>
      <c r="AG669" s="135"/>
      <c r="AH669" s="135"/>
      <c r="AI669" s="135"/>
      <c r="AJ669" s="135"/>
      <c r="AK669" s="135"/>
      <c r="AL669" s="135"/>
    </row>
    <row r="670" spans="1:38" ht="13.5" thickBot="1" x14ac:dyDescent="0.25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  <c r="AC670" s="135"/>
      <c r="AD670" s="135"/>
      <c r="AE670" s="135"/>
      <c r="AF670" s="135"/>
      <c r="AG670" s="135"/>
      <c r="AH670" s="135"/>
      <c r="AI670" s="135"/>
      <c r="AJ670" s="135"/>
      <c r="AK670" s="135"/>
      <c r="AL670" s="135"/>
    </row>
    <row r="671" spans="1:38" ht="13.5" thickBot="1" x14ac:dyDescent="0.25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  <c r="AC671" s="135"/>
      <c r="AD671" s="135"/>
      <c r="AE671" s="135"/>
      <c r="AF671" s="135"/>
      <c r="AG671" s="135"/>
      <c r="AH671" s="135"/>
      <c r="AI671" s="135"/>
      <c r="AJ671" s="135"/>
      <c r="AK671" s="135"/>
      <c r="AL671" s="135"/>
    </row>
    <row r="672" spans="1:38" ht="13.5" thickBot="1" x14ac:dyDescent="0.25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5"/>
      <c r="AL672" s="135"/>
    </row>
    <row r="673" spans="1:38" ht="13.5" thickBot="1" x14ac:dyDescent="0.25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5"/>
      <c r="AL673" s="135"/>
    </row>
    <row r="674" spans="1:38" ht="13.5" thickBot="1" x14ac:dyDescent="0.25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  <c r="AC674" s="135"/>
      <c r="AD674" s="135"/>
      <c r="AE674" s="135"/>
      <c r="AF674" s="135"/>
      <c r="AG674" s="135"/>
      <c r="AH674" s="135"/>
      <c r="AI674" s="135"/>
      <c r="AJ674" s="135"/>
      <c r="AK674" s="135"/>
      <c r="AL674" s="135"/>
    </row>
    <row r="675" spans="1:38" ht="13.5" thickBot="1" x14ac:dyDescent="0.2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  <c r="AC675" s="135"/>
      <c r="AD675" s="135"/>
      <c r="AE675" s="135"/>
      <c r="AF675" s="135"/>
      <c r="AG675" s="135"/>
      <c r="AH675" s="135"/>
      <c r="AI675" s="135"/>
      <c r="AJ675" s="135"/>
      <c r="AK675" s="135"/>
      <c r="AL675" s="135"/>
    </row>
    <row r="676" spans="1:38" ht="13.5" thickBot="1" x14ac:dyDescent="0.25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  <c r="AC676" s="135"/>
      <c r="AD676" s="135"/>
      <c r="AE676" s="135"/>
      <c r="AF676" s="135"/>
      <c r="AG676" s="135"/>
      <c r="AH676" s="135"/>
      <c r="AI676" s="135"/>
      <c r="AJ676" s="135"/>
      <c r="AK676" s="135"/>
      <c r="AL676" s="135"/>
    </row>
    <row r="677" spans="1:38" ht="13.5" thickBot="1" x14ac:dyDescent="0.25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  <c r="AC677" s="135"/>
      <c r="AD677" s="135"/>
      <c r="AE677" s="135"/>
      <c r="AF677" s="135"/>
      <c r="AG677" s="135"/>
      <c r="AH677" s="135"/>
      <c r="AI677" s="135"/>
      <c r="AJ677" s="135"/>
      <c r="AK677" s="135"/>
      <c r="AL677" s="135"/>
    </row>
    <row r="678" spans="1:38" ht="13.5" thickBot="1" x14ac:dyDescent="0.25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  <c r="AC678" s="135"/>
      <c r="AD678" s="135"/>
      <c r="AE678" s="135"/>
      <c r="AF678" s="135"/>
      <c r="AG678" s="135"/>
      <c r="AH678" s="135"/>
      <c r="AI678" s="135"/>
      <c r="AJ678" s="135"/>
      <c r="AK678" s="135"/>
      <c r="AL678" s="135"/>
    </row>
    <row r="679" spans="1:38" ht="13.5" thickBot="1" x14ac:dyDescent="0.25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  <c r="AC679" s="135"/>
      <c r="AD679" s="135"/>
      <c r="AE679" s="135"/>
      <c r="AF679" s="135"/>
      <c r="AG679" s="135"/>
      <c r="AH679" s="135"/>
      <c r="AI679" s="135"/>
      <c r="AJ679" s="135"/>
      <c r="AK679" s="135"/>
      <c r="AL679" s="135"/>
    </row>
    <row r="680" spans="1:38" ht="13.5" thickBot="1" x14ac:dyDescent="0.25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  <c r="AC680" s="135"/>
      <c r="AD680" s="135"/>
      <c r="AE680" s="135"/>
      <c r="AF680" s="135"/>
      <c r="AG680" s="135"/>
      <c r="AH680" s="135"/>
      <c r="AI680" s="135"/>
      <c r="AJ680" s="135"/>
      <c r="AK680" s="135"/>
      <c r="AL680" s="135"/>
    </row>
    <row r="681" spans="1:38" ht="13.5" thickBot="1" x14ac:dyDescent="0.25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  <c r="AC681" s="135"/>
      <c r="AD681" s="135"/>
      <c r="AE681" s="135"/>
      <c r="AF681" s="135"/>
      <c r="AG681" s="135"/>
      <c r="AH681" s="135"/>
      <c r="AI681" s="135"/>
      <c r="AJ681" s="135"/>
      <c r="AK681" s="135"/>
      <c r="AL681" s="135"/>
    </row>
    <row r="682" spans="1:38" ht="13.5" thickBot="1" x14ac:dyDescent="0.25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  <c r="AC682" s="135"/>
      <c r="AD682" s="135"/>
      <c r="AE682" s="135"/>
      <c r="AF682" s="135"/>
      <c r="AG682" s="135"/>
      <c r="AH682" s="135"/>
      <c r="AI682" s="135"/>
      <c r="AJ682" s="135"/>
      <c r="AK682" s="135"/>
      <c r="AL682" s="135"/>
    </row>
    <row r="683" spans="1:38" ht="13.5" thickBot="1" x14ac:dyDescent="0.25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  <c r="AD683" s="135"/>
      <c r="AE683" s="135"/>
      <c r="AF683" s="135"/>
      <c r="AG683" s="135"/>
      <c r="AH683" s="135"/>
      <c r="AI683" s="135"/>
      <c r="AJ683" s="135"/>
      <c r="AK683" s="135"/>
      <c r="AL683" s="135"/>
    </row>
    <row r="684" spans="1:38" ht="13.5" thickBot="1" x14ac:dyDescent="0.25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  <c r="AC684" s="135"/>
      <c r="AD684" s="135"/>
      <c r="AE684" s="135"/>
      <c r="AF684" s="135"/>
      <c r="AG684" s="135"/>
      <c r="AH684" s="135"/>
      <c r="AI684" s="135"/>
      <c r="AJ684" s="135"/>
      <c r="AK684" s="135"/>
      <c r="AL684" s="135"/>
    </row>
    <row r="685" spans="1:38" ht="13.5" thickBot="1" x14ac:dyDescent="0.2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  <c r="AC685" s="135"/>
      <c r="AD685" s="135"/>
      <c r="AE685" s="135"/>
      <c r="AF685" s="135"/>
      <c r="AG685" s="135"/>
      <c r="AH685" s="135"/>
      <c r="AI685" s="135"/>
      <c r="AJ685" s="135"/>
      <c r="AK685" s="135"/>
      <c r="AL685" s="135"/>
    </row>
    <row r="686" spans="1:38" ht="13.5" thickBot="1" x14ac:dyDescent="0.25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  <c r="AC686" s="135"/>
      <c r="AD686" s="135"/>
      <c r="AE686" s="135"/>
      <c r="AF686" s="135"/>
      <c r="AG686" s="135"/>
      <c r="AH686" s="135"/>
      <c r="AI686" s="135"/>
      <c r="AJ686" s="135"/>
      <c r="AK686" s="135"/>
      <c r="AL686" s="135"/>
    </row>
    <row r="687" spans="1:38" ht="13.5" thickBot="1" x14ac:dyDescent="0.25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  <c r="AC687" s="135"/>
      <c r="AD687" s="135"/>
      <c r="AE687" s="135"/>
      <c r="AF687" s="135"/>
      <c r="AG687" s="135"/>
      <c r="AH687" s="135"/>
      <c r="AI687" s="135"/>
      <c r="AJ687" s="135"/>
      <c r="AK687" s="135"/>
      <c r="AL687" s="135"/>
    </row>
    <row r="688" spans="1:38" ht="13.5" thickBot="1" x14ac:dyDescent="0.25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  <c r="AC688" s="135"/>
      <c r="AD688" s="135"/>
      <c r="AE688" s="135"/>
      <c r="AF688" s="135"/>
      <c r="AG688" s="135"/>
      <c r="AH688" s="135"/>
      <c r="AI688" s="135"/>
      <c r="AJ688" s="135"/>
      <c r="AK688" s="135"/>
      <c r="AL688" s="135"/>
    </row>
    <row r="689" spans="1:38" ht="13.5" thickBot="1" x14ac:dyDescent="0.25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  <c r="AC689" s="135"/>
      <c r="AD689" s="135"/>
      <c r="AE689" s="135"/>
      <c r="AF689" s="135"/>
      <c r="AG689" s="135"/>
      <c r="AH689" s="135"/>
      <c r="AI689" s="135"/>
      <c r="AJ689" s="135"/>
      <c r="AK689" s="135"/>
      <c r="AL689" s="135"/>
    </row>
    <row r="690" spans="1:38" ht="13.5" thickBot="1" x14ac:dyDescent="0.25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  <c r="AC690" s="135"/>
      <c r="AD690" s="135"/>
      <c r="AE690" s="135"/>
      <c r="AF690" s="135"/>
      <c r="AG690" s="135"/>
      <c r="AH690" s="135"/>
      <c r="AI690" s="135"/>
      <c r="AJ690" s="135"/>
      <c r="AK690" s="135"/>
      <c r="AL690" s="135"/>
    </row>
    <row r="691" spans="1:38" ht="13.5" thickBot="1" x14ac:dyDescent="0.25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  <c r="AD691" s="135"/>
      <c r="AE691" s="135"/>
      <c r="AF691" s="135"/>
      <c r="AG691" s="135"/>
      <c r="AH691" s="135"/>
      <c r="AI691" s="135"/>
      <c r="AJ691" s="135"/>
      <c r="AK691" s="135"/>
      <c r="AL691" s="135"/>
    </row>
    <row r="692" spans="1:38" ht="13.5" thickBot="1" x14ac:dyDescent="0.25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  <c r="AC692" s="135"/>
      <c r="AD692" s="135"/>
      <c r="AE692" s="135"/>
      <c r="AF692" s="135"/>
      <c r="AG692" s="135"/>
      <c r="AH692" s="135"/>
      <c r="AI692" s="135"/>
      <c r="AJ692" s="135"/>
      <c r="AK692" s="135"/>
      <c r="AL692" s="135"/>
    </row>
    <row r="693" spans="1:38" ht="13.5" thickBot="1" x14ac:dyDescent="0.25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  <c r="AD693" s="135"/>
      <c r="AE693" s="135"/>
      <c r="AF693" s="135"/>
      <c r="AG693" s="135"/>
      <c r="AH693" s="135"/>
      <c r="AI693" s="135"/>
      <c r="AJ693" s="135"/>
      <c r="AK693" s="135"/>
      <c r="AL693" s="135"/>
    </row>
    <row r="694" spans="1:38" ht="13.5" thickBot="1" x14ac:dyDescent="0.25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  <c r="AC694" s="135"/>
      <c r="AD694" s="135"/>
      <c r="AE694" s="135"/>
      <c r="AF694" s="135"/>
      <c r="AG694" s="135"/>
      <c r="AH694" s="135"/>
      <c r="AI694" s="135"/>
      <c r="AJ694" s="135"/>
      <c r="AK694" s="135"/>
      <c r="AL694" s="135"/>
    </row>
    <row r="695" spans="1:38" ht="13.5" thickBot="1" x14ac:dyDescent="0.2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  <c r="AC695" s="135"/>
      <c r="AD695" s="135"/>
      <c r="AE695" s="135"/>
      <c r="AF695" s="135"/>
      <c r="AG695" s="135"/>
      <c r="AH695" s="135"/>
      <c r="AI695" s="135"/>
      <c r="AJ695" s="135"/>
      <c r="AK695" s="135"/>
      <c r="AL695" s="135"/>
    </row>
    <row r="696" spans="1:38" ht="13.5" thickBot="1" x14ac:dyDescent="0.25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  <c r="AC696" s="135"/>
      <c r="AD696" s="135"/>
      <c r="AE696" s="135"/>
      <c r="AF696" s="135"/>
      <c r="AG696" s="135"/>
      <c r="AH696" s="135"/>
      <c r="AI696" s="135"/>
      <c r="AJ696" s="135"/>
      <c r="AK696" s="135"/>
      <c r="AL696" s="135"/>
    </row>
    <row r="697" spans="1:38" ht="13.5" thickBot="1" x14ac:dyDescent="0.25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  <c r="AC697" s="135"/>
      <c r="AD697" s="135"/>
      <c r="AE697" s="135"/>
      <c r="AF697" s="135"/>
      <c r="AG697" s="135"/>
      <c r="AH697" s="135"/>
      <c r="AI697" s="135"/>
      <c r="AJ697" s="135"/>
      <c r="AK697" s="135"/>
      <c r="AL697" s="135"/>
    </row>
    <row r="698" spans="1:38" ht="13.5" thickBot="1" x14ac:dyDescent="0.25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  <c r="AC698" s="135"/>
      <c r="AD698" s="135"/>
      <c r="AE698" s="135"/>
      <c r="AF698" s="135"/>
      <c r="AG698" s="135"/>
      <c r="AH698" s="135"/>
      <c r="AI698" s="135"/>
      <c r="AJ698" s="135"/>
      <c r="AK698" s="135"/>
      <c r="AL698" s="135"/>
    </row>
    <row r="699" spans="1:38" ht="13.5" thickBot="1" x14ac:dyDescent="0.25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  <c r="AC699" s="135"/>
      <c r="AD699" s="135"/>
      <c r="AE699" s="135"/>
      <c r="AF699" s="135"/>
      <c r="AG699" s="135"/>
      <c r="AH699" s="135"/>
      <c r="AI699" s="135"/>
      <c r="AJ699" s="135"/>
      <c r="AK699" s="135"/>
      <c r="AL699" s="135"/>
    </row>
    <row r="700" spans="1:38" ht="13.5" thickBot="1" x14ac:dyDescent="0.25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  <c r="AD700" s="135"/>
      <c r="AE700" s="135"/>
      <c r="AF700" s="135"/>
      <c r="AG700" s="135"/>
      <c r="AH700" s="135"/>
      <c r="AI700" s="135"/>
      <c r="AJ700" s="135"/>
      <c r="AK700" s="135"/>
      <c r="AL700" s="135"/>
    </row>
    <row r="701" spans="1:38" ht="13.5" thickBot="1" x14ac:dyDescent="0.25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  <c r="AD701" s="135"/>
      <c r="AE701" s="135"/>
      <c r="AF701" s="135"/>
      <c r="AG701" s="135"/>
      <c r="AH701" s="135"/>
      <c r="AI701" s="135"/>
      <c r="AJ701" s="135"/>
      <c r="AK701" s="135"/>
      <c r="AL701" s="135"/>
    </row>
    <row r="702" spans="1:38" ht="13.5" thickBot="1" x14ac:dyDescent="0.25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  <c r="AC702" s="135"/>
      <c r="AD702" s="135"/>
      <c r="AE702" s="135"/>
      <c r="AF702" s="135"/>
      <c r="AG702" s="135"/>
      <c r="AH702" s="135"/>
      <c r="AI702" s="135"/>
      <c r="AJ702" s="135"/>
      <c r="AK702" s="135"/>
      <c r="AL702" s="135"/>
    </row>
    <row r="703" spans="1:38" ht="13.5" thickBot="1" x14ac:dyDescent="0.25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  <c r="AC703" s="135"/>
      <c r="AD703" s="135"/>
      <c r="AE703" s="135"/>
      <c r="AF703" s="135"/>
      <c r="AG703" s="135"/>
      <c r="AH703" s="135"/>
      <c r="AI703" s="135"/>
      <c r="AJ703" s="135"/>
      <c r="AK703" s="135"/>
      <c r="AL703" s="135"/>
    </row>
    <row r="704" spans="1:38" ht="13.5" thickBot="1" x14ac:dyDescent="0.25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  <c r="AC704" s="135"/>
      <c r="AD704" s="135"/>
      <c r="AE704" s="135"/>
      <c r="AF704" s="135"/>
      <c r="AG704" s="135"/>
      <c r="AH704" s="135"/>
      <c r="AI704" s="135"/>
      <c r="AJ704" s="135"/>
      <c r="AK704" s="135"/>
      <c r="AL704" s="135"/>
    </row>
    <row r="705" spans="1:38" ht="13.5" thickBot="1" x14ac:dyDescent="0.2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  <c r="AC705" s="135"/>
      <c r="AD705" s="135"/>
      <c r="AE705" s="135"/>
      <c r="AF705" s="135"/>
      <c r="AG705" s="135"/>
      <c r="AH705" s="135"/>
      <c r="AI705" s="135"/>
      <c r="AJ705" s="135"/>
      <c r="AK705" s="135"/>
      <c r="AL705" s="135"/>
    </row>
    <row r="706" spans="1:38" ht="13.5" thickBot="1" x14ac:dyDescent="0.25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  <c r="AC706" s="135"/>
      <c r="AD706" s="135"/>
      <c r="AE706" s="135"/>
      <c r="AF706" s="135"/>
      <c r="AG706" s="135"/>
      <c r="AH706" s="135"/>
      <c r="AI706" s="135"/>
      <c r="AJ706" s="135"/>
      <c r="AK706" s="135"/>
      <c r="AL706" s="135"/>
    </row>
    <row r="707" spans="1:38" ht="13.5" thickBot="1" x14ac:dyDescent="0.25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  <c r="AC707" s="135"/>
      <c r="AD707" s="135"/>
      <c r="AE707" s="135"/>
      <c r="AF707" s="135"/>
      <c r="AG707" s="135"/>
      <c r="AH707" s="135"/>
      <c r="AI707" s="135"/>
      <c r="AJ707" s="135"/>
      <c r="AK707" s="135"/>
      <c r="AL707" s="135"/>
    </row>
    <row r="708" spans="1:38" ht="13.5" thickBot="1" x14ac:dyDescent="0.25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  <c r="AC708" s="135"/>
      <c r="AD708" s="135"/>
      <c r="AE708" s="135"/>
      <c r="AF708" s="135"/>
      <c r="AG708" s="135"/>
      <c r="AH708" s="135"/>
      <c r="AI708" s="135"/>
      <c r="AJ708" s="135"/>
      <c r="AK708" s="135"/>
      <c r="AL708" s="135"/>
    </row>
    <row r="709" spans="1:38" ht="13.5" thickBot="1" x14ac:dyDescent="0.25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  <c r="AC709" s="135"/>
      <c r="AD709" s="135"/>
      <c r="AE709" s="135"/>
      <c r="AF709" s="135"/>
      <c r="AG709" s="135"/>
      <c r="AH709" s="135"/>
      <c r="AI709" s="135"/>
      <c r="AJ709" s="135"/>
      <c r="AK709" s="135"/>
      <c r="AL709" s="135"/>
    </row>
    <row r="710" spans="1:38" ht="13.5" thickBot="1" x14ac:dyDescent="0.25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  <c r="AC710" s="135"/>
      <c r="AD710" s="135"/>
      <c r="AE710" s="135"/>
      <c r="AF710" s="135"/>
      <c r="AG710" s="135"/>
      <c r="AH710" s="135"/>
      <c r="AI710" s="135"/>
      <c r="AJ710" s="135"/>
      <c r="AK710" s="135"/>
      <c r="AL710" s="135"/>
    </row>
    <row r="711" spans="1:38" ht="13.5" thickBot="1" x14ac:dyDescent="0.25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  <c r="AC711" s="135"/>
      <c r="AD711" s="135"/>
      <c r="AE711" s="135"/>
      <c r="AF711" s="135"/>
      <c r="AG711" s="135"/>
      <c r="AH711" s="135"/>
      <c r="AI711" s="135"/>
      <c r="AJ711" s="135"/>
      <c r="AK711" s="135"/>
      <c r="AL711" s="135"/>
    </row>
    <row r="712" spans="1:38" ht="13.5" thickBot="1" x14ac:dyDescent="0.25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  <c r="AC712" s="135"/>
      <c r="AD712" s="135"/>
      <c r="AE712" s="135"/>
      <c r="AF712" s="135"/>
      <c r="AG712" s="135"/>
      <c r="AH712" s="135"/>
      <c r="AI712" s="135"/>
      <c r="AJ712" s="135"/>
      <c r="AK712" s="135"/>
      <c r="AL712" s="135"/>
    </row>
    <row r="713" spans="1:38" ht="13.5" thickBot="1" x14ac:dyDescent="0.25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/>
      <c r="AE713" s="135"/>
      <c r="AF713" s="135"/>
      <c r="AG713" s="135"/>
      <c r="AH713" s="135"/>
      <c r="AI713" s="135"/>
      <c r="AJ713" s="135"/>
      <c r="AK713" s="135"/>
      <c r="AL713" s="135"/>
    </row>
    <row r="714" spans="1:38" ht="13.5" thickBot="1" x14ac:dyDescent="0.25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  <c r="AC714" s="135"/>
      <c r="AD714" s="135"/>
      <c r="AE714" s="135"/>
      <c r="AF714" s="135"/>
      <c r="AG714" s="135"/>
      <c r="AH714" s="135"/>
      <c r="AI714" s="135"/>
      <c r="AJ714" s="135"/>
      <c r="AK714" s="135"/>
      <c r="AL714" s="135"/>
    </row>
    <row r="715" spans="1:38" ht="13.5" thickBot="1" x14ac:dyDescent="0.2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  <c r="AC715" s="135"/>
      <c r="AD715" s="135"/>
      <c r="AE715" s="135"/>
      <c r="AF715" s="135"/>
      <c r="AG715" s="135"/>
      <c r="AH715" s="135"/>
      <c r="AI715" s="135"/>
      <c r="AJ715" s="135"/>
      <c r="AK715" s="135"/>
      <c r="AL715" s="135"/>
    </row>
    <row r="716" spans="1:38" ht="13.5" thickBot="1" x14ac:dyDescent="0.25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  <c r="AC716" s="135"/>
      <c r="AD716" s="135"/>
      <c r="AE716" s="135"/>
      <c r="AF716" s="135"/>
      <c r="AG716" s="135"/>
      <c r="AH716" s="135"/>
      <c r="AI716" s="135"/>
      <c r="AJ716" s="135"/>
      <c r="AK716" s="135"/>
      <c r="AL716" s="135"/>
    </row>
    <row r="717" spans="1:38" ht="13.5" thickBot="1" x14ac:dyDescent="0.25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5"/>
      <c r="AL717" s="135"/>
    </row>
    <row r="718" spans="1:38" ht="13.5" thickBot="1" x14ac:dyDescent="0.25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  <c r="AC718" s="135"/>
      <c r="AD718" s="135"/>
      <c r="AE718" s="135"/>
      <c r="AF718" s="135"/>
      <c r="AG718" s="135"/>
      <c r="AH718" s="135"/>
      <c r="AI718" s="135"/>
      <c r="AJ718" s="135"/>
      <c r="AK718" s="135"/>
      <c r="AL718" s="135"/>
    </row>
    <row r="719" spans="1:38" ht="13.5" thickBot="1" x14ac:dyDescent="0.25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  <c r="AC719" s="135"/>
      <c r="AD719" s="135"/>
      <c r="AE719" s="135"/>
      <c r="AF719" s="135"/>
      <c r="AG719" s="135"/>
      <c r="AH719" s="135"/>
      <c r="AI719" s="135"/>
      <c r="AJ719" s="135"/>
      <c r="AK719" s="135"/>
      <c r="AL719" s="135"/>
    </row>
    <row r="720" spans="1:38" ht="13.5" thickBot="1" x14ac:dyDescent="0.25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  <c r="AC720" s="135"/>
      <c r="AD720" s="135"/>
      <c r="AE720" s="135"/>
      <c r="AF720" s="135"/>
      <c r="AG720" s="135"/>
      <c r="AH720" s="135"/>
      <c r="AI720" s="135"/>
      <c r="AJ720" s="135"/>
      <c r="AK720" s="135"/>
      <c r="AL720" s="135"/>
    </row>
    <row r="721" spans="1:38" ht="13.5" thickBot="1" x14ac:dyDescent="0.25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  <c r="AC721" s="135"/>
      <c r="AD721" s="135"/>
      <c r="AE721" s="135"/>
      <c r="AF721" s="135"/>
      <c r="AG721" s="135"/>
      <c r="AH721" s="135"/>
      <c r="AI721" s="135"/>
      <c r="AJ721" s="135"/>
      <c r="AK721" s="135"/>
      <c r="AL721" s="135"/>
    </row>
    <row r="722" spans="1:38" ht="13.5" thickBot="1" x14ac:dyDescent="0.25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  <c r="AC722" s="135"/>
      <c r="AD722" s="135"/>
      <c r="AE722" s="135"/>
      <c r="AF722" s="135"/>
      <c r="AG722" s="135"/>
      <c r="AH722" s="135"/>
      <c r="AI722" s="135"/>
      <c r="AJ722" s="135"/>
      <c r="AK722" s="135"/>
      <c r="AL722" s="135"/>
    </row>
    <row r="723" spans="1:38" ht="13.5" thickBot="1" x14ac:dyDescent="0.25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  <c r="AC723" s="135"/>
      <c r="AD723" s="135"/>
      <c r="AE723" s="135"/>
      <c r="AF723" s="135"/>
      <c r="AG723" s="135"/>
      <c r="AH723" s="135"/>
      <c r="AI723" s="135"/>
      <c r="AJ723" s="135"/>
      <c r="AK723" s="135"/>
      <c r="AL723" s="135"/>
    </row>
    <row r="724" spans="1:38" ht="13.5" thickBot="1" x14ac:dyDescent="0.25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  <c r="AC724" s="135"/>
      <c r="AD724" s="135"/>
      <c r="AE724" s="135"/>
      <c r="AF724" s="135"/>
      <c r="AG724" s="135"/>
      <c r="AH724" s="135"/>
      <c r="AI724" s="135"/>
      <c r="AJ724" s="135"/>
      <c r="AK724" s="135"/>
      <c r="AL724" s="135"/>
    </row>
    <row r="725" spans="1:38" ht="13.5" thickBot="1" x14ac:dyDescent="0.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  <c r="AC725" s="135"/>
      <c r="AD725" s="135"/>
      <c r="AE725" s="135"/>
      <c r="AF725" s="135"/>
      <c r="AG725" s="135"/>
      <c r="AH725" s="135"/>
      <c r="AI725" s="135"/>
      <c r="AJ725" s="135"/>
      <c r="AK725" s="135"/>
      <c r="AL725" s="135"/>
    </row>
    <row r="726" spans="1:38" ht="13.5" thickBot="1" x14ac:dyDescent="0.25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  <c r="AC726" s="135"/>
      <c r="AD726" s="135"/>
      <c r="AE726" s="135"/>
      <c r="AF726" s="135"/>
      <c r="AG726" s="135"/>
      <c r="AH726" s="135"/>
      <c r="AI726" s="135"/>
      <c r="AJ726" s="135"/>
      <c r="AK726" s="135"/>
      <c r="AL726" s="135"/>
    </row>
    <row r="727" spans="1:38" ht="13.5" thickBot="1" x14ac:dyDescent="0.25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  <c r="AC727" s="135"/>
      <c r="AD727" s="135"/>
      <c r="AE727" s="135"/>
      <c r="AF727" s="135"/>
      <c r="AG727" s="135"/>
      <c r="AH727" s="135"/>
      <c r="AI727" s="135"/>
      <c r="AJ727" s="135"/>
      <c r="AK727" s="135"/>
      <c r="AL727" s="135"/>
    </row>
    <row r="728" spans="1:38" ht="13.5" thickBot="1" x14ac:dyDescent="0.25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  <c r="AC728" s="135"/>
      <c r="AD728" s="135"/>
      <c r="AE728" s="135"/>
      <c r="AF728" s="135"/>
      <c r="AG728" s="135"/>
      <c r="AH728" s="135"/>
      <c r="AI728" s="135"/>
      <c r="AJ728" s="135"/>
      <c r="AK728" s="135"/>
      <c r="AL728" s="135"/>
    </row>
    <row r="729" spans="1:38" ht="13.5" thickBot="1" x14ac:dyDescent="0.25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  <c r="AC729" s="135"/>
      <c r="AD729" s="135"/>
      <c r="AE729" s="135"/>
      <c r="AF729" s="135"/>
      <c r="AG729" s="135"/>
      <c r="AH729" s="135"/>
      <c r="AI729" s="135"/>
      <c r="AJ729" s="135"/>
      <c r="AK729" s="135"/>
      <c r="AL729" s="135"/>
    </row>
    <row r="730" spans="1:38" ht="13.5" thickBot="1" x14ac:dyDescent="0.25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  <c r="AC730" s="135"/>
      <c r="AD730" s="135"/>
      <c r="AE730" s="135"/>
      <c r="AF730" s="135"/>
      <c r="AG730" s="135"/>
      <c r="AH730" s="135"/>
      <c r="AI730" s="135"/>
      <c r="AJ730" s="135"/>
      <c r="AK730" s="135"/>
      <c r="AL730" s="135"/>
    </row>
    <row r="731" spans="1:38" ht="13.5" thickBot="1" x14ac:dyDescent="0.25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  <c r="AC731" s="135"/>
      <c r="AD731" s="135"/>
      <c r="AE731" s="135"/>
      <c r="AF731" s="135"/>
      <c r="AG731" s="135"/>
      <c r="AH731" s="135"/>
      <c r="AI731" s="135"/>
      <c r="AJ731" s="135"/>
      <c r="AK731" s="135"/>
      <c r="AL731" s="135"/>
    </row>
    <row r="732" spans="1:38" ht="13.5" thickBot="1" x14ac:dyDescent="0.25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  <c r="AC732" s="135"/>
      <c r="AD732" s="135"/>
      <c r="AE732" s="135"/>
      <c r="AF732" s="135"/>
      <c r="AG732" s="135"/>
      <c r="AH732" s="135"/>
      <c r="AI732" s="135"/>
      <c r="AJ732" s="135"/>
      <c r="AK732" s="135"/>
      <c r="AL732" s="135"/>
    </row>
    <row r="733" spans="1:38" ht="13.5" thickBot="1" x14ac:dyDescent="0.25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  <c r="AD733" s="135"/>
      <c r="AE733" s="135"/>
      <c r="AF733" s="135"/>
      <c r="AG733" s="135"/>
      <c r="AH733" s="135"/>
      <c r="AI733" s="135"/>
      <c r="AJ733" s="135"/>
      <c r="AK733" s="135"/>
      <c r="AL733" s="135"/>
    </row>
    <row r="734" spans="1:38" ht="13.5" thickBot="1" x14ac:dyDescent="0.25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  <c r="AD734" s="135"/>
      <c r="AE734" s="135"/>
      <c r="AF734" s="135"/>
      <c r="AG734" s="135"/>
      <c r="AH734" s="135"/>
      <c r="AI734" s="135"/>
      <c r="AJ734" s="135"/>
      <c r="AK734" s="135"/>
      <c r="AL734" s="135"/>
    </row>
    <row r="735" spans="1:38" ht="13.5" thickBot="1" x14ac:dyDescent="0.2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  <c r="AD735" s="135"/>
      <c r="AE735" s="135"/>
      <c r="AF735" s="135"/>
      <c r="AG735" s="135"/>
      <c r="AH735" s="135"/>
      <c r="AI735" s="135"/>
      <c r="AJ735" s="135"/>
      <c r="AK735" s="135"/>
      <c r="AL735" s="135"/>
    </row>
    <row r="736" spans="1:38" ht="13.5" thickBot="1" x14ac:dyDescent="0.25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  <c r="AD736" s="135"/>
      <c r="AE736" s="135"/>
      <c r="AF736" s="135"/>
      <c r="AG736" s="135"/>
      <c r="AH736" s="135"/>
      <c r="AI736" s="135"/>
      <c r="AJ736" s="135"/>
      <c r="AK736" s="135"/>
      <c r="AL736" s="135"/>
    </row>
    <row r="737" spans="1:38" ht="13.5" thickBot="1" x14ac:dyDescent="0.25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  <c r="AC737" s="135"/>
      <c r="AD737" s="135"/>
      <c r="AE737" s="135"/>
      <c r="AF737" s="135"/>
      <c r="AG737" s="135"/>
      <c r="AH737" s="135"/>
      <c r="AI737" s="135"/>
      <c r="AJ737" s="135"/>
      <c r="AK737" s="135"/>
      <c r="AL737" s="135"/>
    </row>
    <row r="738" spans="1:38" ht="13.5" thickBot="1" x14ac:dyDescent="0.25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  <c r="AC738" s="135"/>
      <c r="AD738" s="135"/>
      <c r="AE738" s="135"/>
      <c r="AF738" s="135"/>
      <c r="AG738" s="135"/>
      <c r="AH738" s="135"/>
      <c r="AI738" s="135"/>
      <c r="AJ738" s="135"/>
      <c r="AK738" s="135"/>
      <c r="AL738" s="135"/>
    </row>
    <row r="739" spans="1:38" ht="13.5" thickBot="1" x14ac:dyDescent="0.25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  <c r="AC739" s="135"/>
      <c r="AD739" s="135"/>
      <c r="AE739" s="135"/>
      <c r="AF739" s="135"/>
      <c r="AG739" s="135"/>
      <c r="AH739" s="135"/>
      <c r="AI739" s="135"/>
      <c r="AJ739" s="135"/>
      <c r="AK739" s="135"/>
      <c r="AL739" s="135"/>
    </row>
    <row r="740" spans="1:38" ht="13.5" thickBot="1" x14ac:dyDescent="0.25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  <c r="AC740" s="135"/>
      <c r="AD740" s="135"/>
      <c r="AE740" s="135"/>
      <c r="AF740" s="135"/>
      <c r="AG740" s="135"/>
      <c r="AH740" s="135"/>
      <c r="AI740" s="135"/>
      <c r="AJ740" s="135"/>
      <c r="AK740" s="135"/>
      <c r="AL740" s="135"/>
    </row>
    <row r="741" spans="1:38" ht="13.5" thickBot="1" x14ac:dyDescent="0.25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  <c r="AC741" s="135"/>
      <c r="AD741" s="135"/>
      <c r="AE741" s="135"/>
      <c r="AF741" s="135"/>
      <c r="AG741" s="135"/>
      <c r="AH741" s="135"/>
      <c r="AI741" s="135"/>
      <c r="AJ741" s="135"/>
      <c r="AK741" s="135"/>
      <c r="AL741" s="135"/>
    </row>
    <row r="742" spans="1:38" ht="13.5" thickBot="1" x14ac:dyDescent="0.25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  <c r="AC742" s="135"/>
      <c r="AD742" s="135"/>
      <c r="AE742" s="135"/>
      <c r="AF742" s="135"/>
      <c r="AG742" s="135"/>
      <c r="AH742" s="135"/>
      <c r="AI742" s="135"/>
      <c r="AJ742" s="135"/>
      <c r="AK742" s="135"/>
      <c r="AL742" s="135"/>
    </row>
    <row r="743" spans="1:38" ht="13.5" thickBot="1" x14ac:dyDescent="0.25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  <c r="AC743" s="135"/>
      <c r="AD743" s="135"/>
      <c r="AE743" s="135"/>
      <c r="AF743" s="135"/>
      <c r="AG743" s="135"/>
      <c r="AH743" s="135"/>
      <c r="AI743" s="135"/>
      <c r="AJ743" s="135"/>
      <c r="AK743" s="135"/>
      <c r="AL743" s="135"/>
    </row>
    <row r="744" spans="1:38" ht="13.5" thickBot="1" x14ac:dyDescent="0.25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  <c r="AC744" s="135"/>
      <c r="AD744" s="135"/>
      <c r="AE744" s="135"/>
      <c r="AF744" s="135"/>
      <c r="AG744" s="135"/>
      <c r="AH744" s="135"/>
      <c r="AI744" s="135"/>
      <c r="AJ744" s="135"/>
      <c r="AK744" s="135"/>
      <c r="AL744" s="135"/>
    </row>
    <row r="745" spans="1:38" ht="13.5" thickBot="1" x14ac:dyDescent="0.2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  <c r="AC745" s="135"/>
      <c r="AD745" s="135"/>
      <c r="AE745" s="135"/>
      <c r="AF745" s="135"/>
      <c r="AG745" s="135"/>
      <c r="AH745" s="135"/>
      <c r="AI745" s="135"/>
      <c r="AJ745" s="135"/>
      <c r="AK745" s="135"/>
      <c r="AL745" s="135"/>
    </row>
    <row r="746" spans="1:38" ht="13.5" thickBot="1" x14ac:dyDescent="0.25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  <c r="AC746" s="135"/>
      <c r="AD746" s="135"/>
      <c r="AE746" s="135"/>
      <c r="AF746" s="135"/>
      <c r="AG746" s="135"/>
      <c r="AH746" s="135"/>
      <c r="AI746" s="135"/>
      <c r="AJ746" s="135"/>
      <c r="AK746" s="135"/>
      <c r="AL746" s="135"/>
    </row>
    <row r="747" spans="1:38" ht="13.5" thickBot="1" x14ac:dyDescent="0.25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  <c r="AC747" s="135"/>
      <c r="AD747" s="135"/>
      <c r="AE747" s="135"/>
      <c r="AF747" s="135"/>
      <c r="AG747" s="135"/>
      <c r="AH747" s="135"/>
      <c r="AI747" s="135"/>
      <c r="AJ747" s="135"/>
      <c r="AK747" s="135"/>
      <c r="AL747" s="135"/>
    </row>
    <row r="748" spans="1:38" ht="13.5" thickBot="1" x14ac:dyDescent="0.25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  <c r="AC748" s="135"/>
      <c r="AD748" s="135"/>
      <c r="AE748" s="135"/>
      <c r="AF748" s="135"/>
      <c r="AG748" s="135"/>
      <c r="AH748" s="135"/>
      <c r="AI748" s="135"/>
      <c r="AJ748" s="135"/>
      <c r="AK748" s="135"/>
      <c r="AL748" s="135"/>
    </row>
    <row r="749" spans="1:38" ht="13.5" thickBot="1" x14ac:dyDescent="0.25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  <c r="AC749" s="135"/>
      <c r="AD749" s="135"/>
      <c r="AE749" s="135"/>
      <c r="AF749" s="135"/>
      <c r="AG749" s="135"/>
      <c r="AH749" s="135"/>
      <c r="AI749" s="135"/>
      <c r="AJ749" s="135"/>
      <c r="AK749" s="135"/>
      <c r="AL749" s="135"/>
    </row>
    <row r="750" spans="1:38" ht="13.5" thickBot="1" x14ac:dyDescent="0.25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5"/>
      <c r="AH750" s="135"/>
      <c r="AI750" s="135"/>
      <c r="AJ750" s="135"/>
      <c r="AK750" s="135"/>
      <c r="AL750" s="135"/>
    </row>
    <row r="751" spans="1:38" ht="13.5" thickBot="1" x14ac:dyDescent="0.25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5"/>
      <c r="AH751" s="135"/>
      <c r="AI751" s="135"/>
      <c r="AJ751" s="135"/>
      <c r="AK751" s="135"/>
      <c r="AL751" s="135"/>
    </row>
    <row r="752" spans="1:38" ht="13.5" thickBot="1" x14ac:dyDescent="0.25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  <c r="AC752" s="135"/>
      <c r="AD752" s="135"/>
      <c r="AE752" s="135"/>
      <c r="AF752" s="135"/>
      <c r="AG752" s="135"/>
      <c r="AH752" s="135"/>
      <c r="AI752" s="135"/>
      <c r="AJ752" s="135"/>
      <c r="AK752" s="135"/>
      <c r="AL752" s="135"/>
    </row>
    <row r="753" spans="1:38" ht="13.5" thickBot="1" x14ac:dyDescent="0.25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  <c r="AD753" s="135"/>
      <c r="AE753" s="135"/>
      <c r="AF753" s="135"/>
      <c r="AG753" s="135"/>
      <c r="AH753" s="135"/>
      <c r="AI753" s="135"/>
      <c r="AJ753" s="135"/>
      <c r="AK753" s="135"/>
      <c r="AL753" s="135"/>
    </row>
    <row r="754" spans="1:38" ht="13.5" thickBot="1" x14ac:dyDescent="0.25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  <c r="AC754" s="135"/>
      <c r="AD754" s="135"/>
      <c r="AE754" s="135"/>
      <c r="AF754" s="135"/>
      <c r="AG754" s="135"/>
      <c r="AH754" s="135"/>
      <c r="AI754" s="135"/>
      <c r="AJ754" s="135"/>
      <c r="AK754" s="135"/>
      <c r="AL754" s="135"/>
    </row>
    <row r="755" spans="1:38" ht="13.5" thickBot="1" x14ac:dyDescent="0.2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  <c r="AC755" s="135"/>
      <c r="AD755" s="135"/>
      <c r="AE755" s="135"/>
      <c r="AF755" s="135"/>
      <c r="AG755" s="135"/>
      <c r="AH755" s="135"/>
      <c r="AI755" s="135"/>
      <c r="AJ755" s="135"/>
      <c r="AK755" s="135"/>
      <c r="AL755" s="135"/>
    </row>
    <row r="756" spans="1:38" ht="13.5" thickBot="1" x14ac:dyDescent="0.25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  <c r="AC756" s="135"/>
      <c r="AD756" s="135"/>
      <c r="AE756" s="135"/>
      <c r="AF756" s="135"/>
      <c r="AG756" s="135"/>
      <c r="AH756" s="135"/>
      <c r="AI756" s="135"/>
      <c r="AJ756" s="135"/>
      <c r="AK756" s="135"/>
      <c r="AL756" s="135"/>
    </row>
    <row r="757" spans="1:38" ht="13.5" thickBot="1" x14ac:dyDescent="0.25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  <c r="AC757" s="135"/>
      <c r="AD757" s="135"/>
      <c r="AE757" s="135"/>
      <c r="AF757" s="135"/>
      <c r="AG757" s="135"/>
      <c r="AH757" s="135"/>
      <c r="AI757" s="135"/>
      <c r="AJ757" s="135"/>
      <c r="AK757" s="135"/>
      <c r="AL757" s="135"/>
    </row>
    <row r="758" spans="1:38" ht="13.5" thickBot="1" x14ac:dyDescent="0.25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  <c r="AC758" s="135"/>
      <c r="AD758" s="135"/>
      <c r="AE758" s="135"/>
      <c r="AF758" s="135"/>
      <c r="AG758" s="135"/>
      <c r="AH758" s="135"/>
      <c r="AI758" s="135"/>
      <c r="AJ758" s="135"/>
      <c r="AK758" s="135"/>
      <c r="AL758" s="135"/>
    </row>
    <row r="759" spans="1:38" ht="13.5" thickBot="1" x14ac:dyDescent="0.25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  <c r="AD759" s="135"/>
      <c r="AE759" s="135"/>
      <c r="AF759" s="135"/>
      <c r="AG759" s="135"/>
      <c r="AH759" s="135"/>
      <c r="AI759" s="135"/>
      <c r="AJ759" s="135"/>
      <c r="AK759" s="135"/>
      <c r="AL759" s="135"/>
    </row>
    <row r="760" spans="1:38" ht="13.5" thickBot="1" x14ac:dyDescent="0.25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  <c r="AC760" s="135"/>
      <c r="AD760" s="135"/>
      <c r="AE760" s="135"/>
      <c r="AF760" s="135"/>
      <c r="AG760" s="135"/>
      <c r="AH760" s="135"/>
      <c r="AI760" s="135"/>
      <c r="AJ760" s="135"/>
      <c r="AK760" s="135"/>
      <c r="AL760" s="135"/>
    </row>
    <row r="761" spans="1:38" ht="13.5" thickBot="1" x14ac:dyDescent="0.25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  <c r="AC761" s="135"/>
      <c r="AD761" s="135"/>
      <c r="AE761" s="135"/>
      <c r="AF761" s="135"/>
      <c r="AG761" s="135"/>
      <c r="AH761" s="135"/>
      <c r="AI761" s="135"/>
      <c r="AJ761" s="135"/>
      <c r="AK761" s="135"/>
      <c r="AL761" s="135"/>
    </row>
    <row r="762" spans="1:38" ht="13.5" thickBot="1" x14ac:dyDescent="0.25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  <c r="AC762" s="135"/>
      <c r="AD762" s="135"/>
      <c r="AE762" s="135"/>
      <c r="AF762" s="135"/>
      <c r="AG762" s="135"/>
      <c r="AH762" s="135"/>
      <c r="AI762" s="135"/>
      <c r="AJ762" s="135"/>
      <c r="AK762" s="135"/>
      <c r="AL762" s="135"/>
    </row>
    <row r="763" spans="1:38" ht="13.5" thickBot="1" x14ac:dyDescent="0.25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  <c r="AC763" s="135"/>
      <c r="AD763" s="135"/>
      <c r="AE763" s="135"/>
      <c r="AF763" s="135"/>
      <c r="AG763" s="135"/>
      <c r="AH763" s="135"/>
      <c r="AI763" s="135"/>
      <c r="AJ763" s="135"/>
      <c r="AK763" s="135"/>
      <c r="AL763" s="135"/>
    </row>
    <row r="764" spans="1:38" ht="13.5" thickBot="1" x14ac:dyDescent="0.25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  <c r="AD764" s="135"/>
      <c r="AE764" s="135"/>
      <c r="AF764" s="135"/>
      <c r="AG764" s="135"/>
      <c r="AH764" s="135"/>
      <c r="AI764" s="135"/>
      <c r="AJ764" s="135"/>
      <c r="AK764" s="135"/>
      <c r="AL764" s="135"/>
    </row>
    <row r="765" spans="1:38" ht="13.5" thickBot="1" x14ac:dyDescent="0.2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/>
      <c r="AE765" s="135"/>
      <c r="AF765" s="135"/>
      <c r="AG765" s="135"/>
      <c r="AH765" s="135"/>
      <c r="AI765" s="135"/>
      <c r="AJ765" s="135"/>
      <c r="AK765" s="135"/>
      <c r="AL765" s="135"/>
    </row>
    <row r="766" spans="1:38" ht="13.5" thickBot="1" x14ac:dyDescent="0.25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  <c r="AD766" s="135"/>
      <c r="AE766" s="135"/>
      <c r="AF766" s="135"/>
      <c r="AG766" s="135"/>
      <c r="AH766" s="135"/>
      <c r="AI766" s="135"/>
      <c r="AJ766" s="135"/>
      <c r="AK766" s="135"/>
      <c r="AL766" s="135"/>
    </row>
    <row r="767" spans="1:38" ht="13.5" thickBot="1" x14ac:dyDescent="0.25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  <c r="AE767" s="135"/>
      <c r="AF767" s="135"/>
      <c r="AG767" s="135"/>
      <c r="AH767" s="135"/>
      <c r="AI767" s="135"/>
      <c r="AJ767" s="135"/>
      <c r="AK767" s="135"/>
      <c r="AL767" s="135"/>
    </row>
    <row r="768" spans="1:38" ht="13.5" thickBot="1" x14ac:dyDescent="0.25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  <c r="AC768" s="135"/>
      <c r="AD768" s="135"/>
      <c r="AE768" s="135"/>
      <c r="AF768" s="135"/>
      <c r="AG768" s="135"/>
      <c r="AH768" s="135"/>
      <c r="AI768" s="135"/>
      <c r="AJ768" s="135"/>
      <c r="AK768" s="135"/>
      <c r="AL768" s="135"/>
    </row>
    <row r="769" spans="1:38" ht="13.5" thickBot="1" x14ac:dyDescent="0.25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  <c r="AD769" s="135"/>
      <c r="AE769" s="135"/>
      <c r="AF769" s="135"/>
      <c r="AG769" s="135"/>
      <c r="AH769" s="135"/>
      <c r="AI769" s="135"/>
      <c r="AJ769" s="135"/>
      <c r="AK769" s="135"/>
      <c r="AL769" s="135"/>
    </row>
    <row r="770" spans="1:38" ht="13.5" thickBot="1" x14ac:dyDescent="0.25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  <c r="AC770" s="135"/>
      <c r="AD770" s="135"/>
      <c r="AE770" s="135"/>
      <c r="AF770" s="135"/>
      <c r="AG770" s="135"/>
      <c r="AH770" s="135"/>
      <c r="AI770" s="135"/>
      <c r="AJ770" s="135"/>
      <c r="AK770" s="135"/>
      <c r="AL770" s="135"/>
    </row>
    <row r="771" spans="1:38" ht="13.5" thickBot="1" x14ac:dyDescent="0.25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  <c r="AC771" s="135"/>
      <c r="AD771" s="135"/>
      <c r="AE771" s="135"/>
      <c r="AF771" s="135"/>
      <c r="AG771" s="135"/>
      <c r="AH771" s="135"/>
      <c r="AI771" s="135"/>
      <c r="AJ771" s="135"/>
      <c r="AK771" s="135"/>
      <c r="AL771" s="135"/>
    </row>
    <row r="772" spans="1:38" ht="13.5" thickBot="1" x14ac:dyDescent="0.25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  <c r="AC772" s="135"/>
      <c r="AD772" s="135"/>
      <c r="AE772" s="135"/>
      <c r="AF772" s="135"/>
      <c r="AG772" s="135"/>
      <c r="AH772" s="135"/>
      <c r="AI772" s="135"/>
      <c r="AJ772" s="135"/>
      <c r="AK772" s="135"/>
      <c r="AL772" s="135"/>
    </row>
    <row r="773" spans="1:38" ht="13.5" thickBot="1" x14ac:dyDescent="0.25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5"/>
      <c r="AL773" s="135"/>
    </row>
    <row r="774" spans="1:38" ht="13.5" thickBot="1" x14ac:dyDescent="0.25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135"/>
      <c r="AG774" s="135"/>
      <c r="AH774" s="135"/>
      <c r="AI774" s="135"/>
      <c r="AJ774" s="135"/>
      <c r="AK774" s="135"/>
      <c r="AL774" s="135"/>
    </row>
    <row r="775" spans="1:38" ht="13.5" thickBot="1" x14ac:dyDescent="0.2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135"/>
      <c r="AG775" s="135"/>
      <c r="AH775" s="135"/>
      <c r="AI775" s="135"/>
      <c r="AJ775" s="135"/>
      <c r="AK775" s="135"/>
      <c r="AL775" s="135"/>
    </row>
    <row r="776" spans="1:38" ht="13.5" thickBot="1" x14ac:dyDescent="0.25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  <c r="AC776" s="135"/>
      <c r="AD776" s="135"/>
      <c r="AE776" s="135"/>
      <c r="AF776" s="135"/>
      <c r="AG776" s="135"/>
      <c r="AH776" s="135"/>
      <c r="AI776" s="135"/>
      <c r="AJ776" s="135"/>
      <c r="AK776" s="135"/>
      <c r="AL776" s="135"/>
    </row>
    <row r="777" spans="1:38" ht="13.5" thickBot="1" x14ac:dyDescent="0.25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  <c r="AC777" s="135"/>
      <c r="AD777" s="135"/>
      <c r="AE777" s="135"/>
      <c r="AF777" s="135"/>
      <c r="AG777" s="135"/>
      <c r="AH777" s="135"/>
      <c r="AI777" s="135"/>
      <c r="AJ777" s="135"/>
      <c r="AK777" s="135"/>
      <c r="AL777" s="135"/>
    </row>
    <row r="778" spans="1:38" ht="13.5" thickBot="1" x14ac:dyDescent="0.25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  <c r="AC778" s="135"/>
      <c r="AD778" s="135"/>
      <c r="AE778" s="135"/>
      <c r="AF778" s="135"/>
      <c r="AG778" s="135"/>
      <c r="AH778" s="135"/>
      <c r="AI778" s="135"/>
      <c r="AJ778" s="135"/>
      <c r="AK778" s="135"/>
      <c r="AL778" s="135"/>
    </row>
    <row r="779" spans="1:38" ht="13.5" thickBot="1" x14ac:dyDescent="0.25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  <c r="AC779" s="135"/>
      <c r="AD779" s="135"/>
      <c r="AE779" s="135"/>
      <c r="AF779" s="135"/>
      <c r="AG779" s="135"/>
      <c r="AH779" s="135"/>
      <c r="AI779" s="135"/>
      <c r="AJ779" s="135"/>
      <c r="AK779" s="135"/>
      <c r="AL779" s="135"/>
    </row>
    <row r="780" spans="1:38" ht="13.5" thickBot="1" x14ac:dyDescent="0.25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  <c r="AC780" s="135"/>
      <c r="AD780" s="135"/>
      <c r="AE780" s="135"/>
      <c r="AF780" s="135"/>
      <c r="AG780" s="135"/>
      <c r="AH780" s="135"/>
      <c r="AI780" s="135"/>
      <c r="AJ780" s="135"/>
      <c r="AK780" s="135"/>
      <c r="AL780" s="135"/>
    </row>
    <row r="781" spans="1:38" ht="13.5" thickBot="1" x14ac:dyDescent="0.25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  <c r="AC781" s="135"/>
      <c r="AD781" s="135"/>
      <c r="AE781" s="135"/>
      <c r="AF781" s="135"/>
      <c r="AG781" s="135"/>
      <c r="AH781" s="135"/>
      <c r="AI781" s="135"/>
      <c r="AJ781" s="135"/>
      <c r="AK781" s="135"/>
      <c r="AL781" s="135"/>
    </row>
    <row r="782" spans="1:38" ht="13.5" thickBot="1" x14ac:dyDescent="0.25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  <c r="AC782" s="135"/>
      <c r="AD782" s="135"/>
      <c r="AE782" s="135"/>
      <c r="AF782" s="135"/>
      <c r="AG782" s="135"/>
      <c r="AH782" s="135"/>
      <c r="AI782" s="135"/>
      <c r="AJ782" s="135"/>
      <c r="AK782" s="135"/>
      <c r="AL782" s="135"/>
    </row>
    <row r="783" spans="1:38" ht="13.5" thickBot="1" x14ac:dyDescent="0.25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5"/>
      <c r="AL783" s="135"/>
    </row>
    <row r="784" spans="1:38" ht="13.5" thickBot="1" x14ac:dyDescent="0.25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5"/>
      <c r="AL784" s="135"/>
    </row>
    <row r="785" spans="1:38" ht="13.5" thickBot="1" x14ac:dyDescent="0.2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  <c r="AC785" s="135"/>
      <c r="AD785" s="135"/>
      <c r="AE785" s="135"/>
      <c r="AF785" s="135"/>
      <c r="AG785" s="135"/>
      <c r="AH785" s="135"/>
      <c r="AI785" s="135"/>
      <c r="AJ785" s="135"/>
      <c r="AK785" s="135"/>
      <c r="AL785" s="135"/>
    </row>
    <row r="786" spans="1:38" ht="13.5" thickBot="1" x14ac:dyDescent="0.25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  <c r="AC786" s="135"/>
      <c r="AD786" s="135"/>
      <c r="AE786" s="135"/>
      <c r="AF786" s="135"/>
      <c r="AG786" s="135"/>
      <c r="AH786" s="135"/>
      <c r="AI786" s="135"/>
      <c r="AJ786" s="135"/>
      <c r="AK786" s="135"/>
      <c r="AL786" s="135"/>
    </row>
    <row r="787" spans="1:38" ht="13.5" thickBot="1" x14ac:dyDescent="0.25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  <c r="AC787" s="135"/>
      <c r="AD787" s="135"/>
      <c r="AE787" s="135"/>
      <c r="AF787" s="135"/>
      <c r="AG787" s="135"/>
      <c r="AH787" s="135"/>
      <c r="AI787" s="135"/>
      <c r="AJ787" s="135"/>
      <c r="AK787" s="135"/>
      <c r="AL787" s="135"/>
    </row>
    <row r="788" spans="1:38" ht="13.5" thickBot="1" x14ac:dyDescent="0.25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  <c r="AC788" s="135"/>
      <c r="AD788" s="135"/>
      <c r="AE788" s="135"/>
      <c r="AF788" s="135"/>
      <c r="AG788" s="135"/>
      <c r="AH788" s="135"/>
      <c r="AI788" s="135"/>
      <c r="AJ788" s="135"/>
      <c r="AK788" s="135"/>
      <c r="AL788" s="135"/>
    </row>
    <row r="789" spans="1:38" ht="13.5" thickBot="1" x14ac:dyDescent="0.25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  <c r="AC789" s="135"/>
      <c r="AD789" s="135"/>
      <c r="AE789" s="135"/>
      <c r="AF789" s="135"/>
      <c r="AG789" s="135"/>
      <c r="AH789" s="135"/>
      <c r="AI789" s="135"/>
      <c r="AJ789" s="135"/>
      <c r="AK789" s="135"/>
      <c r="AL789" s="135"/>
    </row>
    <row r="790" spans="1:38" ht="13.5" thickBot="1" x14ac:dyDescent="0.25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  <c r="AC790" s="135"/>
      <c r="AD790" s="135"/>
      <c r="AE790" s="135"/>
      <c r="AF790" s="135"/>
      <c r="AG790" s="135"/>
      <c r="AH790" s="135"/>
      <c r="AI790" s="135"/>
      <c r="AJ790" s="135"/>
      <c r="AK790" s="135"/>
      <c r="AL790" s="135"/>
    </row>
    <row r="791" spans="1:38" ht="13.5" thickBot="1" x14ac:dyDescent="0.25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  <c r="AC791" s="135"/>
      <c r="AD791" s="135"/>
      <c r="AE791" s="135"/>
      <c r="AF791" s="135"/>
      <c r="AG791" s="135"/>
      <c r="AH791" s="135"/>
      <c r="AI791" s="135"/>
      <c r="AJ791" s="135"/>
      <c r="AK791" s="135"/>
      <c r="AL791" s="135"/>
    </row>
    <row r="792" spans="1:38" ht="13.5" thickBot="1" x14ac:dyDescent="0.25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  <c r="AC792" s="135"/>
      <c r="AD792" s="135"/>
      <c r="AE792" s="135"/>
      <c r="AF792" s="135"/>
      <c r="AG792" s="135"/>
      <c r="AH792" s="135"/>
      <c r="AI792" s="135"/>
      <c r="AJ792" s="135"/>
      <c r="AK792" s="135"/>
      <c r="AL792" s="135"/>
    </row>
    <row r="793" spans="1:38" ht="13.5" thickBot="1" x14ac:dyDescent="0.25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  <c r="AD793" s="135"/>
      <c r="AE793" s="135"/>
      <c r="AF793" s="135"/>
      <c r="AG793" s="135"/>
      <c r="AH793" s="135"/>
      <c r="AI793" s="135"/>
      <c r="AJ793" s="135"/>
      <c r="AK793" s="135"/>
      <c r="AL793" s="135"/>
    </row>
    <row r="794" spans="1:38" ht="13.5" thickBot="1" x14ac:dyDescent="0.25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  <c r="AC794" s="135"/>
      <c r="AD794" s="135"/>
      <c r="AE794" s="135"/>
      <c r="AF794" s="135"/>
      <c r="AG794" s="135"/>
      <c r="AH794" s="135"/>
      <c r="AI794" s="135"/>
      <c r="AJ794" s="135"/>
      <c r="AK794" s="135"/>
      <c r="AL794" s="135"/>
    </row>
    <row r="795" spans="1:38" ht="13.5" thickBot="1" x14ac:dyDescent="0.2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  <c r="AC795" s="135"/>
      <c r="AD795" s="135"/>
      <c r="AE795" s="135"/>
      <c r="AF795" s="135"/>
      <c r="AG795" s="135"/>
      <c r="AH795" s="135"/>
      <c r="AI795" s="135"/>
      <c r="AJ795" s="135"/>
      <c r="AK795" s="135"/>
      <c r="AL795" s="135"/>
    </row>
    <row r="796" spans="1:38" ht="13.5" thickBot="1" x14ac:dyDescent="0.25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  <c r="AC796" s="135"/>
      <c r="AD796" s="135"/>
      <c r="AE796" s="135"/>
      <c r="AF796" s="135"/>
      <c r="AG796" s="135"/>
      <c r="AH796" s="135"/>
      <c r="AI796" s="135"/>
      <c r="AJ796" s="135"/>
      <c r="AK796" s="135"/>
      <c r="AL796" s="135"/>
    </row>
    <row r="797" spans="1:38" ht="13.5" thickBot="1" x14ac:dyDescent="0.25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  <c r="AC797" s="135"/>
      <c r="AD797" s="135"/>
      <c r="AE797" s="135"/>
      <c r="AF797" s="135"/>
      <c r="AG797" s="135"/>
      <c r="AH797" s="135"/>
      <c r="AI797" s="135"/>
      <c r="AJ797" s="135"/>
      <c r="AK797" s="135"/>
      <c r="AL797" s="135"/>
    </row>
    <row r="798" spans="1:38" ht="13.5" thickBot="1" x14ac:dyDescent="0.25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  <c r="AC798" s="135"/>
      <c r="AD798" s="135"/>
      <c r="AE798" s="135"/>
      <c r="AF798" s="135"/>
      <c r="AG798" s="135"/>
      <c r="AH798" s="135"/>
      <c r="AI798" s="135"/>
      <c r="AJ798" s="135"/>
      <c r="AK798" s="135"/>
      <c r="AL798" s="135"/>
    </row>
    <row r="799" spans="1:38" ht="13.5" thickBot="1" x14ac:dyDescent="0.25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  <c r="AC799" s="135"/>
      <c r="AD799" s="135"/>
      <c r="AE799" s="135"/>
      <c r="AF799" s="135"/>
      <c r="AG799" s="135"/>
      <c r="AH799" s="135"/>
      <c r="AI799" s="135"/>
      <c r="AJ799" s="135"/>
      <c r="AK799" s="135"/>
      <c r="AL799" s="135"/>
    </row>
    <row r="800" spans="1:38" ht="13.5" thickBot="1" x14ac:dyDescent="0.25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  <c r="AC800" s="135"/>
      <c r="AD800" s="135"/>
      <c r="AE800" s="135"/>
      <c r="AF800" s="135"/>
      <c r="AG800" s="135"/>
      <c r="AH800" s="135"/>
      <c r="AI800" s="135"/>
      <c r="AJ800" s="135"/>
      <c r="AK800" s="135"/>
      <c r="AL800" s="135"/>
    </row>
    <row r="801" spans="1:38" ht="13.5" thickBot="1" x14ac:dyDescent="0.25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  <c r="AD801" s="135"/>
      <c r="AE801" s="135"/>
      <c r="AF801" s="135"/>
      <c r="AG801" s="135"/>
      <c r="AH801" s="135"/>
      <c r="AI801" s="135"/>
      <c r="AJ801" s="135"/>
      <c r="AK801" s="135"/>
      <c r="AL801" s="135"/>
    </row>
    <row r="802" spans="1:38" ht="13.5" thickBot="1" x14ac:dyDescent="0.25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  <c r="AC802" s="135"/>
      <c r="AD802" s="135"/>
      <c r="AE802" s="135"/>
      <c r="AF802" s="135"/>
      <c r="AG802" s="135"/>
      <c r="AH802" s="135"/>
      <c r="AI802" s="135"/>
      <c r="AJ802" s="135"/>
      <c r="AK802" s="135"/>
      <c r="AL802" s="135"/>
    </row>
    <row r="803" spans="1:38" ht="13.5" thickBot="1" x14ac:dyDescent="0.25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  <c r="AC803" s="135"/>
      <c r="AD803" s="135"/>
      <c r="AE803" s="135"/>
      <c r="AF803" s="135"/>
      <c r="AG803" s="135"/>
      <c r="AH803" s="135"/>
      <c r="AI803" s="135"/>
      <c r="AJ803" s="135"/>
      <c r="AK803" s="135"/>
      <c r="AL803" s="135"/>
    </row>
    <row r="804" spans="1:38" ht="13.5" thickBot="1" x14ac:dyDescent="0.25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5"/>
      <c r="AL804" s="135"/>
    </row>
    <row r="805" spans="1:38" ht="13.5" thickBot="1" x14ac:dyDescent="0.2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  <c r="AC805" s="135"/>
      <c r="AD805" s="135"/>
      <c r="AE805" s="135"/>
      <c r="AF805" s="135"/>
      <c r="AG805" s="135"/>
      <c r="AH805" s="135"/>
      <c r="AI805" s="135"/>
      <c r="AJ805" s="135"/>
      <c r="AK805" s="135"/>
      <c r="AL805" s="135"/>
    </row>
    <row r="806" spans="1:38" ht="13.5" thickBot="1" x14ac:dyDescent="0.25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  <c r="AC806" s="135"/>
      <c r="AD806" s="135"/>
      <c r="AE806" s="135"/>
      <c r="AF806" s="135"/>
      <c r="AG806" s="135"/>
      <c r="AH806" s="135"/>
      <c r="AI806" s="135"/>
      <c r="AJ806" s="135"/>
      <c r="AK806" s="135"/>
      <c r="AL806" s="135"/>
    </row>
    <row r="807" spans="1:38" ht="13.5" thickBot="1" x14ac:dyDescent="0.25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  <c r="AC807" s="135"/>
      <c r="AD807" s="135"/>
      <c r="AE807" s="135"/>
      <c r="AF807" s="135"/>
      <c r="AG807" s="135"/>
      <c r="AH807" s="135"/>
      <c r="AI807" s="135"/>
      <c r="AJ807" s="135"/>
      <c r="AK807" s="135"/>
      <c r="AL807" s="135"/>
    </row>
    <row r="808" spans="1:38" ht="13.5" thickBot="1" x14ac:dyDescent="0.25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  <c r="AD808" s="135"/>
      <c r="AE808" s="135"/>
      <c r="AF808" s="135"/>
      <c r="AG808" s="135"/>
      <c r="AH808" s="135"/>
      <c r="AI808" s="135"/>
      <c r="AJ808" s="135"/>
      <c r="AK808" s="135"/>
      <c r="AL808" s="135"/>
    </row>
    <row r="809" spans="1:38" ht="13.5" thickBot="1" x14ac:dyDescent="0.25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  <c r="AC809" s="135"/>
      <c r="AD809" s="135"/>
      <c r="AE809" s="135"/>
      <c r="AF809" s="135"/>
      <c r="AG809" s="135"/>
      <c r="AH809" s="135"/>
      <c r="AI809" s="135"/>
      <c r="AJ809" s="135"/>
      <c r="AK809" s="135"/>
      <c r="AL809" s="135"/>
    </row>
    <row r="810" spans="1:38" ht="13.5" thickBot="1" x14ac:dyDescent="0.25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  <c r="AC810" s="135"/>
      <c r="AD810" s="135"/>
      <c r="AE810" s="135"/>
      <c r="AF810" s="135"/>
      <c r="AG810" s="135"/>
      <c r="AH810" s="135"/>
      <c r="AI810" s="135"/>
      <c r="AJ810" s="135"/>
      <c r="AK810" s="135"/>
      <c r="AL810" s="135"/>
    </row>
    <row r="811" spans="1:38" ht="13.5" thickBot="1" x14ac:dyDescent="0.25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  <c r="AC811" s="135"/>
      <c r="AD811" s="135"/>
      <c r="AE811" s="135"/>
      <c r="AF811" s="135"/>
      <c r="AG811" s="135"/>
      <c r="AH811" s="135"/>
      <c r="AI811" s="135"/>
      <c r="AJ811" s="135"/>
      <c r="AK811" s="135"/>
      <c r="AL811" s="135"/>
    </row>
    <row r="812" spans="1:38" ht="13.5" thickBot="1" x14ac:dyDescent="0.25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  <c r="AC812" s="135"/>
      <c r="AD812" s="135"/>
      <c r="AE812" s="135"/>
      <c r="AF812" s="135"/>
      <c r="AG812" s="135"/>
      <c r="AH812" s="135"/>
      <c r="AI812" s="135"/>
      <c r="AJ812" s="135"/>
      <c r="AK812" s="135"/>
      <c r="AL812" s="135"/>
    </row>
    <row r="813" spans="1:38" ht="13.5" thickBot="1" x14ac:dyDescent="0.25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  <c r="AD813" s="135"/>
      <c r="AE813" s="135"/>
      <c r="AF813" s="135"/>
      <c r="AG813" s="135"/>
      <c r="AH813" s="135"/>
      <c r="AI813" s="135"/>
      <c r="AJ813" s="135"/>
      <c r="AK813" s="135"/>
      <c r="AL813" s="135"/>
    </row>
    <row r="814" spans="1:38" ht="13.5" thickBot="1" x14ac:dyDescent="0.25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  <c r="AD814" s="135"/>
      <c r="AE814" s="135"/>
      <c r="AF814" s="135"/>
      <c r="AG814" s="135"/>
      <c r="AH814" s="135"/>
      <c r="AI814" s="135"/>
      <c r="AJ814" s="135"/>
      <c r="AK814" s="135"/>
      <c r="AL814" s="135"/>
    </row>
    <row r="815" spans="1:38" ht="13.5" thickBot="1" x14ac:dyDescent="0.2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  <c r="AC815" s="135"/>
      <c r="AD815" s="135"/>
      <c r="AE815" s="135"/>
      <c r="AF815" s="135"/>
      <c r="AG815" s="135"/>
      <c r="AH815" s="135"/>
      <c r="AI815" s="135"/>
      <c r="AJ815" s="135"/>
      <c r="AK815" s="135"/>
      <c r="AL815" s="135"/>
    </row>
    <row r="816" spans="1:38" ht="13.5" thickBot="1" x14ac:dyDescent="0.25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  <c r="AC816" s="135"/>
      <c r="AD816" s="135"/>
      <c r="AE816" s="135"/>
      <c r="AF816" s="135"/>
      <c r="AG816" s="135"/>
      <c r="AH816" s="135"/>
      <c r="AI816" s="135"/>
      <c r="AJ816" s="135"/>
      <c r="AK816" s="135"/>
      <c r="AL816" s="135"/>
    </row>
    <row r="817" spans="1:38" ht="13.5" thickBot="1" x14ac:dyDescent="0.25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  <c r="AC817" s="135"/>
      <c r="AD817" s="135"/>
      <c r="AE817" s="135"/>
      <c r="AF817" s="135"/>
      <c r="AG817" s="135"/>
      <c r="AH817" s="135"/>
      <c r="AI817" s="135"/>
      <c r="AJ817" s="135"/>
      <c r="AK817" s="135"/>
      <c r="AL817" s="135"/>
    </row>
    <row r="818" spans="1:38" ht="13.5" thickBot="1" x14ac:dyDescent="0.25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  <c r="AD818" s="135"/>
      <c r="AE818" s="135"/>
      <c r="AF818" s="135"/>
      <c r="AG818" s="135"/>
      <c r="AH818" s="135"/>
      <c r="AI818" s="135"/>
      <c r="AJ818" s="135"/>
      <c r="AK818" s="135"/>
      <c r="AL818" s="135"/>
    </row>
    <row r="819" spans="1:38" ht="13.5" thickBot="1" x14ac:dyDescent="0.25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  <c r="AD819" s="135"/>
      <c r="AE819" s="135"/>
      <c r="AF819" s="135"/>
      <c r="AG819" s="135"/>
      <c r="AH819" s="135"/>
      <c r="AI819" s="135"/>
      <c r="AJ819" s="135"/>
      <c r="AK819" s="135"/>
      <c r="AL819" s="135"/>
    </row>
    <row r="820" spans="1:38" ht="13.5" thickBot="1" x14ac:dyDescent="0.25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  <c r="AD820" s="135"/>
      <c r="AE820" s="135"/>
      <c r="AF820" s="135"/>
      <c r="AG820" s="135"/>
      <c r="AH820" s="135"/>
      <c r="AI820" s="135"/>
      <c r="AJ820" s="135"/>
      <c r="AK820" s="135"/>
      <c r="AL820" s="135"/>
    </row>
    <row r="821" spans="1:38" ht="13.5" thickBot="1" x14ac:dyDescent="0.25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  <c r="AD821" s="135"/>
      <c r="AE821" s="135"/>
      <c r="AF821" s="135"/>
      <c r="AG821" s="135"/>
      <c r="AH821" s="135"/>
      <c r="AI821" s="135"/>
      <c r="AJ821" s="135"/>
      <c r="AK821" s="135"/>
      <c r="AL821" s="135"/>
    </row>
    <row r="822" spans="1:38" ht="13.5" thickBot="1" x14ac:dyDescent="0.25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  <c r="AC822" s="135"/>
      <c r="AD822" s="135"/>
      <c r="AE822" s="135"/>
      <c r="AF822" s="135"/>
      <c r="AG822" s="135"/>
      <c r="AH822" s="135"/>
      <c r="AI822" s="135"/>
      <c r="AJ822" s="135"/>
      <c r="AK822" s="135"/>
      <c r="AL822" s="135"/>
    </row>
    <row r="823" spans="1:38" ht="13.5" thickBot="1" x14ac:dyDescent="0.25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  <c r="AC823" s="135"/>
      <c r="AD823" s="135"/>
      <c r="AE823" s="135"/>
      <c r="AF823" s="135"/>
      <c r="AG823" s="135"/>
      <c r="AH823" s="135"/>
      <c r="AI823" s="135"/>
      <c r="AJ823" s="135"/>
      <c r="AK823" s="135"/>
      <c r="AL823" s="135"/>
    </row>
    <row r="824" spans="1:38" ht="13.5" thickBot="1" x14ac:dyDescent="0.25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  <c r="AD824" s="135"/>
      <c r="AE824" s="135"/>
      <c r="AF824" s="135"/>
      <c r="AG824" s="135"/>
      <c r="AH824" s="135"/>
      <c r="AI824" s="135"/>
      <c r="AJ824" s="135"/>
      <c r="AK824" s="135"/>
      <c r="AL824" s="135"/>
    </row>
    <row r="825" spans="1:38" ht="13.5" thickBot="1" x14ac:dyDescent="0.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  <c r="AC825" s="135"/>
      <c r="AD825" s="135"/>
      <c r="AE825" s="135"/>
      <c r="AF825" s="135"/>
      <c r="AG825" s="135"/>
      <c r="AH825" s="135"/>
      <c r="AI825" s="135"/>
      <c r="AJ825" s="135"/>
      <c r="AK825" s="135"/>
      <c r="AL825" s="135"/>
    </row>
    <row r="826" spans="1:38" ht="13.5" thickBot="1" x14ac:dyDescent="0.25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  <c r="AC826" s="135"/>
      <c r="AD826" s="135"/>
      <c r="AE826" s="135"/>
      <c r="AF826" s="135"/>
      <c r="AG826" s="135"/>
      <c r="AH826" s="135"/>
      <c r="AI826" s="135"/>
      <c r="AJ826" s="135"/>
      <c r="AK826" s="135"/>
      <c r="AL826" s="135"/>
    </row>
    <row r="827" spans="1:38" ht="13.5" thickBot="1" x14ac:dyDescent="0.25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  <c r="AC827" s="135"/>
      <c r="AD827" s="135"/>
      <c r="AE827" s="135"/>
      <c r="AF827" s="135"/>
      <c r="AG827" s="135"/>
      <c r="AH827" s="135"/>
      <c r="AI827" s="135"/>
      <c r="AJ827" s="135"/>
      <c r="AK827" s="135"/>
      <c r="AL827" s="135"/>
    </row>
    <row r="828" spans="1:38" ht="13.5" thickBot="1" x14ac:dyDescent="0.25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  <c r="AC828" s="135"/>
      <c r="AD828" s="135"/>
      <c r="AE828" s="135"/>
      <c r="AF828" s="135"/>
      <c r="AG828" s="135"/>
      <c r="AH828" s="135"/>
      <c r="AI828" s="135"/>
      <c r="AJ828" s="135"/>
      <c r="AK828" s="135"/>
      <c r="AL828" s="135"/>
    </row>
    <row r="829" spans="1:38" ht="13.5" thickBot="1" x14ac:dyDescent="0.25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  <c r="AC829" s="135"/>
      <c r="AD829" s="135"/>
      <c r="AE829" s="135"/>
      <c r="AF829" s="135"/>
      <c r="AG829" s="135"/>
      <c r="AH829" s="135"/>
      <c r="AI829" s="135"/>
      <c r="AJ829" s="135"/>
      <c r="AK829" s="135"/>
      <c r="AL829" s="135"/>
    </row>
    <row r="830" spans="1:38" ht="13.5" thickBot="1" x14ac:dyDescent="0.25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  <c r="AD830" s="135"/>
      <c r="AE830" s="135"/>
      <c r="AF830" s="135"/>
      <c r="AG830" s="135"/>
      <c r="AH830" s="135"/>
      <c r="AI830" s="135"/>
      <c r="AJ830" s="135"/>
      <c r="AK830" s="135"/>
      <c r="AL830" s="135"/>
    </row>
    <row r="831" spans="1:38" ht="13.5" thickBot="1" x14ac:dyDescent="0.25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  <c r="AC831" s="135"/>
      <c r="AD831" s="135"/>
      <c r="AE831" s="135"/>
      <c r="AF831" s="135"/>
      <c r="AG831" s="135"/>
      <c r="AH831" s="135"/>
      <c r="AI831" s="135"/>
      <c r="AJ831" s="135"/>
      <c r="AK831" s="135"/>
      <c r="AL831" s="135"/>
    </row>
    <row r="832" spans="1:38" ht="13.5" thickBot="1" x14ac:dyDescent="0.25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  <c r="AC832" s="135"/>
      <c r="AD832" s="135"/>
      <c r="AE832" s="135"/>
      <c r="AF832" s="135"/>
      <c r="AG832" s="135"/>
      <c r="AH832" s="135"/>
      <c r="AI832" s="135"/>
      <c r="AJ832" s="135"/>
      <c r="AK832" s="135"/>
      <c r="AL832" s="135"/>
    </row>
    <row r="833" spans="1:38" ht="13.5" thickBot="1" x14ac:dyDescent="0.25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  <c r="AD833" s="135"/>
      <c r="AE833" s="135"/>
      <c r="AF833" s="135"/>
      <c r="AG833" s="135"/>
      <c r="AH833" s="135"/>
      <c r="AI833" s="135"/>
      <c r="AJ833" s="135"/>
      <c r="AK833" s="135"/>
      <c r="AL833" s="135"/>
    </row>
    <row r="834" spans="1:38" ht="13.5" thickBot="1" x14ac:dyDescent="0.25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  <c r="AC834" s="135"/>
      <c r="AD834" s="135"/>
      <c r="AE834" s="135"/>
      <c r="AF834" s="135"/>
      <c r="AG834" s="135"/>
      <c r="AH834" s="135"/>
      <c r="AI834" s="135"/>
      <c r="AJ834" s="135"/>
      <c r="AK834" s="135"/>
      <c r="AL834" s="135"/>
    </row>
    <row r="835" spans="1:38" ht="13.5" thickBot="1" x14ac:dyDescent="0.2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  <c r="AD835" s="135"/>
      <c r="AE835" s="135"/>
      <c r="AF835" s="135"/>
      <c r="AG835" s="135"/>
      <c r="AH835" s="135"/>
      <c r="AI835" s="135"/>
      <c r="AJ835" s="135"/>
      <c r="AK835" s="135"/>
      <c r="AL835" s="135"/>
    </row>
    <row r="836" spans="1:38" ht="13.5" thickBot="1" x14ac:dyDescent="0.25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  <c r="AC836" s="135"/>
      <c r="AD836" s="135"/>
      <c r="AE836" s="135"/>
      <c r="AF836" s="135"/>
      <c r="AG836" s="135"/>
      <c r="AH836" s="135"/>
      <c r="AI836" s="135"/>
      <c r="AJ836" s="135"/>
      <c r="AK836" s="135"/>
      <c r="AL836" s="135"/>
    </row>
    <row r="837" spans="1:38" ht="13.5" thickBot="1" x14ac:dyDescent="0.25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  <c r="AC837" s="135"/>
      <c r="AD837" s="135"/>
      <c r="AE837" s="135"/>
      <c r="AF837" s="135"/>
      <c r="AG837" s="135"/>
      <c r="AH837" s="135"/>
      <c r="AI837" s="135"/>
      <c r="AJ837" s="135"/>
      <c r="AK837" s="135"/>
      <c r="AL837" s="135"/>
    </row>
    <row r="838" spans="1:38" ht="13.5" thickBot="1" x14ac:dyDescent="0.25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  <c r="AC838" s="135"/>
      <c r="AD838" s="135"/>
      <c r="AE838" s="135"/>
      <c r="AF838" s="135"/>
      <c r="AG838" s="135"/>
      <c r="AH838" s="135"/>
      <c r="AI838" s="135"/>
      <c r="AJ838" s="135"/>
      <c r="AK838" s="135"/>
      <c r="AL838" s="135"/>
    </row>
    <row r="839" spans="1:38" ht="13.5" thickBot="1" x14ac:dyDescent="0.25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  <c r="AC839" s="135"/>
      <c r="AD839" s="135"/>
      <c r="AE839" s="135"/>
      <c r="AF839" s="135"/>
      <c r="AG839" s="135"/>
      <c r="AH839" s="135"/>
      <c r="AI839" s="135"/>
      <c r="AJ839" s="135"/>
      <c r="AK839" s="135"/>
      <c r="AL839" s="135"/>
    </row>
    <row r="840" spans="1:38" ht="13.5" thickBot="1" x14ac:dyDescent="0.25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  <c r="AC840" s="135"/>
      <c r="AD840" s="135"/>
      <c r="AE840" s="135"/>
      <c r="AF840" s="135"/>
      <c r="AG840" s="135"/>
      <c r="AH840" s="135"/>
      <c r="AI840" s="135"/>
      <c r="AJ840" s="135"/>
      <c r="AK840" s="135"/>
      <c r="AL840" s="135"/>
    </row>
    <row r="841" spans="1:38" ht="13.5" thickBot="1" x14ac:dyDescent="0.25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  <c r="AC841" s="135"/>
      <c r="AD841" s="135"/>
      <c r="AE841" s="135"/>
      <c r="AF841" s="135"/>
      <c r="AG841" s="135"/>
      <c r="AH841" s="135"/>
      <c r="AI841" s="135"/>
      <c r="AJ841" s="135"/>
      <c r="AK841" s="135"/>
      <c r="AL841" s="135"/>
    </row>
    <row r="842" spans="1:38" ht="13.5" thickBot="1" x14ac:dyDescent="0.25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  <c r="AC842" s="135"/>
      <c r="AD842" s="135"/>
      <c r="AE842" s="135"/>
      <c r="AF842" s="135"/>
      <c r="AG842" s="135"/>
      <c r="AH842" s="135"/>
      <c r="AI842" s="135"/>
      <c r="AJ842" s="135"/>
      <c r="AK842" s="135"/>
      <c r="AL842" s="135"/>
    </row>
    <row r="843" spans="1:38" ht="13.5" thickBot="1" x14ac:dyDescent="0.25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  <c r="AC843" s="135"/>
      <c r="AD843" s="135"/>
      <c r="AE843" s="135"/>
      <c r="AF843" s="135"/>
      <c r="AG843" s="135"/>
      <c r="AH843" s="135"/>
      <c r="AI843" s="135"/>
      <c r="AJ843" s="135"/>
      <c r="AK843" s="135"/>
      <c r="AL843" s="135"/>
    </row>
    <row r="844" spans="1:38" ht="13.5" thickBot="1" x14ac:dyDescent="0.25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  <c r="AC844" s="135"/>
      <c r="AD844" s="135"/>
      <c r="AE844" s="135"/>
      <c r="AF844" s="135"/>
      <c r="AG844" s="135"/>
      <c r="AH844" s="135"/>
      <c r="AI844" s="135"/>
      <c r="AJ844" s="135"/>
      <c r="AK844" s="135"/>
      <c r="AL844" s="135"/>
    </row>
    <row r="845" spans="1:38" ht="13.5" thickBot="1" x14ac:dyDescent="0.2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  <c r="AC845" s="135"/>
      <c r="AD845" s="135"/>
      <c r="AE845" s="135"/>
      <c r="AF845" s="135"/>
      <c r="AG845" s="135"/>
      <c r="AH845" s="135"/>
      <c r="AI845" s="135"/>
      <c r="AJ845" s="135"/>
      <c r="AK845" s="135"/>
      <c r="AL845" s="135"/>
    </row>
    <row r="846" spans="1:38" ht="13.5" thickBot="1" x14ac:dyDescent="0.25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  <c r="AC846" s="135"/>
      <c r="AD846" s="135"/>
      <c r="AE846" s="135"/>
      <c r="AF846" s="135"/>
      <c r="AG846" s="135"/>
      <c r="AH846" s="135"/>
      <c r="AI846" s="135"/>
      <c r="AJ846" s="135"/>
      <c r="AK846" s="135"/>
      <c r="AL846" s="135"/>
    </row>
    <row r="847" spans="1:38" ht="13.5" thickBot="1" x14ac:dyDescent="0.25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  <c r="AD847" s="135"/>
      <c r="AE847" s="135"/>
      <c r="AF847" s="135"/>
      <c r="AG847" s="135"/>
      <c r="AH847" s="135"/>
      <c r="AI847" s="135"/>
      <c r="AJ847" s="135"/>
      <c r="AK847" s="135"/>
      <c r="AL847" s="135"/>
    </row>
    <row r="848" spans="1:38" ht="13.5" thickBot="1" x14ac:dyDescent="0.25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  <c r="AC848" s="135"/>
      <c r="AD848" s="135"/>
      <c r="AE848" s="135"/>
      <c r="AF848" s="135"/>
      <c r="AG848" s="135"/>
      <c r="AH848" s="135"/>
      <c r="AI848" s="135"/>
      <c r="AJ848" s="135"/>
      <c r="AK848" s="135"/>
      <c r="AL848" s="135"/>
    </row>
    <row r="849" spans="1:38" ht="13.5" thickBot="1" x14ac:dyDescent="0.25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  <c r="AC849" s="135"/>
      <c r="AD849" s="135"/>
      <c r="AE849" s="135"/>
      <c r="AF849" s="135"/>
      <c r="AG849" s="135"/>
      <c r="AH849" s="135"/>
      <c r="AI849" s="135"/>
      <c r="AJ849" s="135"/>
      <c r="AK849" s="135"/>
      <c r="AL849" s="135"/>
    </row>
    <row r="850" spans="1:38" ht="13.5" thickBot="1" x14ac:dyDescent="0.25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  <c r="AC850" s="135"/>
      <c r="AD850" s="135"/>
      <c r="AE850" s="135"/>
      <c r="AF850" s="135"/>
      <c r="AG850" s="135"/>
      <c r="AH850" s="135"/>
      <c r="AI850" s="135"/>
      <c r="AJ850" s="135"/>
      <c r="AK850" s="135"/>
      <c r="AL850" s="135"/>
    </row>
    <row r="851" spans="1:38" ht="13.5" thickBot="1" x14ac:dyDescent="0.25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  <c r="AC851" s="135"/>
      <c r="AD851" s="135"/>
      <c r="AE851" s="135"/>
      <c r="AF851" s="135"/>
      <c r="AG851" s="135"/>
      <c r="AH851" s="135"/>
      <c r="AI851" s="135"/>
      <c r="AJ851" s="135"/>
      <c r="AK851" s="135"/>
      <c r="AL851" s="135"/>
    </row>
    <row r="852" spans="1:38" ht="13.5" thickBot="1" x14ac:dyDescent="0.25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  <c r="AD852" s="135"/>
      <c r="AE852" s="135"/>
      <c r="AF852" s="135"/>
      <c r="AG852" s="135"/>
      <c r="AH852" s="135"/>
      <c r="AI852" s="135"/>
      <c r="AJ852" s="135"/>
      <c r="AK852" s="135"/>
      <c r="AL852" s="135"/>
    </row>
    <row r="853" spans="1:38" ht="13.5" thickBot="1" x14ac:dyDescent="0.25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  <c r="AD853" s="135"/>
      <c r="AE853" s="135"/>
      <c r="AF853" s="135"/>
      <c r="AG853" s="135"/>
      <c r="AH853" s="135"/>
      <c r="AI853" s="135"/>
      <c r="AJ853" s="135"/>
      <c r="AK853" s="135"/>
      <c r="AL853" s="135"/>
    </row>
    <row r="854" spans="1:38" ht="13.5" thickBot="1" x14ac:dyDescent="0.25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  <c r="AC854" s="135"/>
      <c r="AD854" s="135"/>
      <c r="AE854" s="135"/>
      <c r="AF854" s="135"/>
      <c r="AG854" s="135"/>
      <c r="AH854" s="135"/>
      <c r="AI854" s="135"/>
      <c r="AJ854" s="135"/>
      <c r="AK854" s="135"/>
      <c r="AL854" s="135"/>
    </row>
    <row r="855" spans="1:38" ht="13.5" thickBot="1" x14ac:dyDescent="0.2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  <c r="AC855" s="135"/>
      <c r="AD855" s="135"/>
      <c r="AE855" s="135"/>
      <c r="AF855" s="135"/>
      <c r="AG855" s="135"/>
      <c r="AH855" s="135"/>
      <c r="AI855" s="135"/>
      <c r="AJ855" s="135"/>
      <c r="AK855" s="135"/>
      <c r="AL855" s="135"/>
    </row>
    <row r="856" spans="1:38" ht="13.5" thickBot="1" x14ac:dyDescent="0.25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  <c r="AC856" s="135"/>
      <c r="AD856" s="135"/>
      <c r="AE856" s="135"/>
      <c r="AF856" s="135"/>
      <c r="AG856" s="135"/>
      <c r="AH856" s="135"/>
      <c r="AI856" s="135"/>
      <c r="AJ856" s="135"/>
      <c r="AK856" s="135"/>
      <c r="AL856" s="135"/>
    </row>
    <row r="857" spans="1:38" ht="13.5" thickBot="1" x14ac:dyDescent="0.25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  <c r="AC857" s="135"/>
      <c r="AD857" s="135"/>
      <c r="AE857" s="135"/>
      <c r="AF857" s="135"/>
      <c r="AG857" s="135"/>
      <c r="AH857" s="135"/>
      <c r="AI857" s="135"/>
      <c r="AJ857" s="135"/>
      <c r="AK857" s="135"/>
      <c r="AL857" s="135"/>
    </row>
    <row r="858" spans="1:38" ht="13.5" thickBot="1" x14ac:dyDescent="0.25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  <c r="AC858" s="135"/>
      <c r="AD858" s="135"/>
      <c r="AE858" s="135"/>
      <c r="AF858" s="135"/>
      <c r="AG858" s="135"/>
      <c r="AH858" s="135"/>
      <c r="AI858" s="135"/>
      <c r="AJ858" s="135"/>
      <c r="AK858" s="135"/>
      <c r="AL858" s="135"/>
    </row>
    <row r="859" spans="1:38" ht="13.5" thickBot="1" x14ac:dyDescent="0.25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  <c r="AC859" s="135"/>
      <c r="AD859" s="135"/>
      <c r="AE859" s="135"/>
      <c r="AF859" s="135"/>
      <c r="AG859" s="135"/>
      <c r="AH859" s="135"/>
      <c r="AI859" s="135"/>
      <c r="AJ859" s="135"/>
      <c r="AK859" s="135"/>
      <c r="AL859" s="135"/>
    </row>
    <row r="860" spans="1:38" ht="13.5" thickBot="1" x14ac:dyDescent="0.25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  <c r="AC860" s="135"/>
      <c r="AD860" s="135"/>
      <c r="AE860" s="135"/>
      <c r="AF860" s="135"/>
      <c r="AG860" s="135"/>
      <c r="AH860" s="135"/>
      <c r="AI860" s="135"/>
      <c r="AJ860" s="135"/>
      <c r="AK860" s="135"/>
      <c r="AL860" s="135"/>
    </row>
    <row r="861" spans="1:38" ht="13.5" thickBot="1" x14ac:dyDescent="0.25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  <c r="AC861" s="135"/>
      <c r="AD861" s="135"/>
      <c r="AE861" s="135"/>
      <c r="AF861" s="135"/>
      <c r="AG861" s="135"/>
      <c r="AH861" s="135"/>
      <c r="AI861" s="135"/>
      <c r="AJ861" s="135"/>
      <c r="AK861" s="135"/>
      <c r="AL861" s="135"/>
    </row>
    <row r="862" spans="1:38" ht="13.5" thickBot="1" x14ac:dyDescent="0.25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  <c r="AC862" s="135"/>
      <c r="AD862" s="135"/>
      <c r="AE862" s="135"/>
      <c r="AF862" s="135"/>
      <c r="AG862" s="135"/>
      <c r="AH862" s="135"/>
      <c r="AI862" s="135"/>
      <c r="AJ862" s="135"/>
      <c r="AK862" s="135"/>
      <c r="AL862" s="135"/>
    </row>
    <row r="863" spans="1:38" ht="13.5" thickBot="1" x14ac:dyDescent="0.25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  <c r="AC863" s="135"/>
      <c r="AD863" s="135"/>
      <c r="AE863" s="135"/>
      <c r="AF863" s="135"/>
      <c r="AG863" s="135"/>
      <c r="AH863" s="135"/>
      <c r="AI863" s="135"/>
      <c r="AJ863" s="135"/>
      <c r="AK863" s="135"/>
      <c r="AL863" s="135"/>
    </row>
    <row r="864" spans="1:38" ht="13.5" thickBot="1" x14ac:dyDescent="0.25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  <c r="AC864" s="135"/>
      <c r="AD864" s="135"/>
      <c r="AE864" s="135"/>
      <c r="AF864" s="135"/>
      <c r="AG864" s="135"/>
      <c r="AH864" s="135"/>
      <c r="AI864" s="135"/>
      <c r="AJ864" s="135"/>
      <c r="AK864" s="135"/>
      <c r="AL864" s="135"/>
    </row>
    <row r="865" spans="1:38" ht="13.5" thickBot="1" x14ac:dyDescent="0.2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  <c r="AC865" s="135"/>
      <c r="AD865" s="135"/>
      <c r="AE865" s="135"/>
      <c r="AF865" s="135"/>
      <c r="AG865" s="135"/>
      <c r="AH865" s="135"/>
      <c r="AI865" s="135"/>
      <c r="AJ865" s="135"/>
      <c r="AK865" s="135"/>
      <c r="AL865" s="135"/>
    </row>
    <row r="866" spans="1:38" ht="13.5" thickBot="1" x14ac:dyDescent="0.25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  <c r="AC866" s="135"/>
      <c r="AD866" s="135"/>
      <c r="AE866" s="135"/>
      <c r="AF866" s="135"/>
      <c r="AG866" s="135"/>
      <c r="AH866" s="135"/>
      <c r="AI866" s="135"/>
      <c r="AJ866" s="135"/>
      <c r="AK866" s="135"/>
      <c r="AL866" s="135"/>
    </row>
    <row r="867" spans="1:38" ht="13.5" thickBot="1" x14ac:dyDescent="0.25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  <c r="AC867" s="135"/>
      <c r="AD867" s="135"/>
      <c r="AE867" s="135"/>
      <c r="AF867" s="135"/>
      <c r="AG867" s="135"/>
      <c r="AH867" s="135"/>
      <c r="AI867" s="135"/>
      <c r="AJ867" s="135"/>
      <c r="AK867" s="135"/>
      <c r="AL867" s="135"/>
    </row>
    <row r="868" spans="1:38" ht="13.5" thickBot="1" x14ac:dyDescent="0.25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  <c r="AC868" s="135"/>
      <c r="AD868" s="135"/>
      <c r="AE868" s="135"/>
      <c r="AF868" s="135"/>
      <c r="AG868" s="135"/>
      <c r="AH868" s="135"/>
      <c r="AI868" s="135"/>
      <c r="AJ868" s="135"/>
      <c r="AK868" s="135"/>
      <c r="AL868" s="135"/>
    </row>
    <row r="869" spans="1:38" ht="13.5" thickBot="1" x14ac:dyDescent="0.25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  <c r="AD869" s="135"/>
      <c r="AE869" s="135"/>
      <c r="AF869" s="135"/>
      <c r="AG869" s="135"/>
      <c r="AH869" s="135"/>
      <c r="AI869" s="135"/>
      <c r="AJ869" s="135"/>
      <c r="AK869" s="135"/>
      <c r="AL869" s="135"/>
    </row>
    <row r="870" spans="1:38" ht="13.5" thickBot="1" x14ac:dyDescent="0.25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  <c r="AC870" s="135"/>
      <c r="AD870" s="135"/>
      <c r="AE870" s="135"/>
      <c r="AF870" s="135"/>
      <c r="AG870" s="135"/>
      <c r="AH870" s="135"/>
      <c r="AI870" s="135"/>
      <c r="AJ870" s="135"/>
      <c r="AK870" s="135"/>
      <c r="AL870" s="135"/>
    </row>
    <row r="871" spans="1:38" ht="13.5" thickBot="1" x14ac:dyDescent="0.25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  <c r="AC871" s="135"/>
      <c r="AD871" s="135"/>
      <c r="AE871" s="135"/>
      <c r="AF871" s="135"/>
      <c r="AG871" s="135"/>
      <c r="AH871" s="135"/>
      <c r="AI871" s="135"/>
      <c r="AJ871" s="135"/>
      <c r="AK871" s="135"/>
      <c r="AL871" s="135"/>
    </row>
    <row r="872" spans="1:38" ht="13.5" thickBot="1" x14ac:dyDescent="0.25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  <c r="AC872" s="135"/>
      <c r="AD872" s="135"/>
      <c r="AE872" s="135"/>
      <c r="AF872" s="135"/>
      <c r="AG872" s="135"/>
      <c r="AH872" s="135"/>
      <c r="AI872" s="135"/>
      <c r="AJ872" s="135"/>
      <c r="AK872" s="135"/>
      <c r="AL872" s="135"/>
    </row>
    <row r="873" spans="1:38" ht="13.5" thickBot="1" x14ac:dyDescent="0.25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  <c r="AD873" s="135"/>
      <c r="AE873" s="135"/>
      <c r="AF873" s="135"/>
      <c r="AG873" s="135"/>
      <c r="AH873" s="135"/>
      <c r="AI873" s="135"/>
      <c r="AJ873" s="135"/>
      <c r="AK873" s="135"/>
      <c r="AL873" s="135"/>
    </row>
    <row r="874" spans="1:38" ht="13.5" thickBot="1" x14ac:dyDescent="0.25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  <c r="AC874" s="135"/>
      <c r="AD874" s="135"/>
      <c r="AE874" s="135"/>
      <c r="AF874" s="135"/>
      <c r="AG874" s="135"/>
      <c r="AH874" s="135"/>
      <c r="AI874" s="135"/>
      <c r="AJ874" s="135"/>
      <c r="AK874" s="135"/>
      <c r="AL874" s="135"/>
    </row>
    <row r="875" spans="1:38" ht="13.5" thickBot="1" x14ac:dyDescent="0.2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  <c r="AC875" s="135"/>
      <c r="AD875" s="135"/>
      <c r="AE875" s="135"/>
      <c r="AF875" s="135"/>
      <c r="AG875" s="135"/>
      <c r="AH875" s="135"/>
      <c r="AI875" s="135"/>
      <c r="AJ875" s="135"/>
      <c r="AK875" s="135"/>
      <c r="AL875" s="135"/>
    </row>
    <row r="876" spans="1:38" ht="13.5" thickBot="1" x14ac:dyDescent="0.25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  <c r="AD876" s="135"/>
      <c r="AE876" s="135"/>
      <c r="AF876" s="135"/>
      <c r="AG876" s="135"/>
      <c r="AH876" s="135"/>
      <c r="AI876" s="135"/>
      <c r="AJ876" s="135"/>
      <c r="AK876" s="135"/>
      <c r="AL876" s="135"/>
    </row>
    <row r="877" spans="1:38" ht="13.5" thickBot="1" x14ac:dyDescent="0.25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  <c r="AC877" s="135"/>
      <c r="AD877" s="135"/>
      <c r="AE877" s="135"/>
      <c r="AF877" s="135"/>
      <c r="AG877" s="135"/>
      <c r="AH877" s="135"/>
      <c r="AI877" s="135"/>
      <c r="AJ877" s="135"/>
      <c r="AK877" s="135"/>
      <c r="AL877" s="135"/>
    </row>
    <row r="878" spans="1:38" ht="13.5" thickBot="1" x14ac:dyDescent="0.25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  <c r="AD878" s="135"/>
      <c r="AE878" s="135"/>
      <c r="AF878" s="135"/>
      <c r="AG878" s="135"/>
      <c r="AH878" s="135"/>
      <c r="AI878" s="135"/>
      <c r="AJ878" s="135"/>
      <c r="AK878" s="135"/>
      <c r="AL878" s="135"/>
    </row>
    <row r="879" spans="1:38" ht="13.5" thickBot="1" x14ac:dyDescent="0.25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  <c r="AD879" s="135"/>
      <c r="AE879" s="135"/>
      <c r="AF879" s="135"/>
      <c r="AG879" s="135"/>
      <c r="AH879" s="135"/>
      <c r="AI879" s="135"/>
      <c r="AJ879" s="135"/>
      <c r="AK879" s="135"/>
      <c r="AL879" s="135"/>
    </row>
    <row r="880" spans="1:38" ht="13.5" thickBot="1" x14ac:dyDescent="0.25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  <c r="AC880" s="135"/>
      <c r="AD880" s="135"/>
      <c r="AE880" s="135"/>
      <c r="AF880" s="135"/>
      <c r="AG880" s="135"/>
      <c r="AH880" s="135"/>
      <c r="AI880" s="135"/>
      <c r="AJ880" s="135"/>
      <c r="AK880" s="135"/>
      <c r="AL880" s="135"/>
    </row>
    <row r="881" spans="1:38" ht="13.5" thickBot="1" x14ac:dyDescent="0.25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  <c r="AD881" s="135"/>
      <c r="AE881" s="135"/>
      <c r="AF881" s="135"/>
      <c r="AG881" s="135"/>
      <c r="AH881" s="135"/>
      <c r="AI881" s="135"/>
      <c r="AJ881" s="135"/>
      <c r="AK881" s="135"/>
      <c r="AL881" s="135"/>
    </row>
    <row r="882" spans="1:38" ht="13.5" thickBot="1" x14ac:dyDescent="0.25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  <c r="AC882" s="135"/>
      <c r="AD882" s="135"/>
      <c r="AE882" s="135"/>
      <c r="AF882" s="135"/>
      <c r="AG882" s="135"/>
      <c r="AH882" s="135"/>
      <c r="AI882" s="135"/>
      <c r="AJ882" s="135"/>
      <c r="AK882" s="135"/>
      <c r="AL882" s="135"/>
    </row>
    <row r="883" spans="1:38" ht="13.5" thickBot="1" x14ac:dyDescent="0.25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  <c r="AC883" s="135"/>
      <c r="AD883" s="135"/>
      <c r="AE883" s="135"/>
      <c r="AF883" s="135"/>
      <c r="AG883" s="135"/>
      <c r="AH883" s="135"/>
      <c r="AI883" s="135"/>
      <c r="AJ883" s="135"/>
      <c r="AK883" s="135"/>
      <c r="AL883" s="135"/>
    </row>
    <row r="884" spans="1:38" ht="13.5" thickBot="1" x14ac:dyDescent="0.25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  <c r="AD884" s="135"/>
      <c r="AE884" s="135"/>
      <c r="AF884" s="135"/>
      <c r="AG884" s="135"/>
      <c r="AH884" s="135"/>
      <c r="AI884" s="135"/>
      <c r="AJ884" s="135"/>
      <c r="AK884" s="135"/>
      <c r="AL884" s="135"/>
    </row>
    <row r="885" spans="1:38" ht="13.5" thickBot="1" x14ac:dyDescent="0.2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  <c r="AC885" s="135"/>
      <c r="AD885" s="135"/>
      <c r="AE885" s="135"/>
      <c r="AF885" s="135"/>
      <c r="AG885" s="135"/>
      <c r="AH885" s="135"/>
      <c r="AI885" s="135"/>
      <c r="AJ885" s="135"/>
      <c r="AK885" s="135"/>
      <c r="AL885" s="135"/>
    </row>
    <row r="886" spans="1:38" ht="13.5" thickBot="1" x14ac:dyDescent="0.25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  <c r="AC886" s="135"/>
      <c r="AD886" s="135"/>
      <c r="AE886" s="135"/>
      <c r="AF886" s="135"/>
      <c r="AG886" s="135"/>
      <c r="AH886" s="135"/>
      <c r="AI886" s="135"/>
      <c r="AJ886" s="135"/>
      <c r="AK886" s="135"/>
      <c r="AL886" s="135"/>
    </row>
    <row r="887" spans="1:38" ht="13.5" thickBot="1" x14ac:dyDescent="0.25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  <c r="AC887" s="135"/>
      <c r="AD887" s="135"/>
      <c r="AE887" s="135"/>
      <c r="AF887" s="135"/>
      <c r="AG887" s="135"/>
      <c r="AH887" s="135"/>
      <c r="AI887" s="135"/>
      <c r="AJ887" s="135"/>
      <c r="AK887" s="135"/>
      <c r="AL887" s="135"/>
    </row>
    <row r="888" spans="1:38" ht="13.5" thickBot="1" x14ac:dyDescent="0.25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  <c r="AC888" s="135"/>
      <c r="AD888" s="135"/>
      <c r="AE888" s="135"/>
      <c r="AF888" s="135"/>
      <c r="AG888" s="135"/>
      <c r="AH888" s="135"/>
      <c r="AI888" s="135"/>
      <c r="AJ888" s="135"/>
      <c r="AK888" s="135"/>
      <c r="AL888" s="135"/>
    </row>
    <row r="889" spans="1:38" ht="13.5" thickBot="1" x14ac:dyDescent="0.25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5"/>
      <c r="AL889" s="135"/>
    </row>
    <row r="890" spans="1:38" ht="13.5" thickBot="1" x14ac:dyDescent="0.25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  <c r="AC890" s="135"/>
      <c r="AD890" s="135"/>
      <c r="AE890" s="135"/>
      <c r="AF890" s="135"/>
      <c r="AG890" s="135"/>
      <c r="AH890" s="135"/>
      <c r="AI890" s="135"/>
      <c r="AJ890" s="135"/>
      <c r="AK890" s="135"/>
      <c r="AL890" s="135"/>
    </row>
    <row r="891" spans="1:38" ht="13.5" thickBot="1" x14ac:dyDescent="0.25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  <c r="AC891" s="135"/>
      <c r="AD891" s="135"/>
      <c r="AE891" s="135"/>
      <c r="AF891" s="135"/>
      <c r="AG891" s="135"/>
      <c r="AH891" s="135"/>
      <c r="AI891" s="135"/>
      <c r="AJ891" s="135"/>
      <c r="AK891" s="135"/>
      <c r="AL891" s="135"/>
    </row>
    <row r="892" spans="1:38" ht="13.5" thickBot="1" x14ac:dyDescent="0.25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  <c r="AC892" s="135"/>
      <c r="AD892" s="135"/>
      <c r="AE892" s="135"/>
      <c r="AF892" s="135"/>
      <c r="AG892" s="135"/>
      <c r="AH892" s="135"/>
      <c r="AI892" s="135"/>
      <c r="AJ892" s="135"/>
      <c r="AK892" s="135"/>
      <c r="AL892" s="135"/>
    </row>
    <row r="893" spans="1:38" ht="13.5" thickBot="1" x14ac:dyDescent="0.25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  <c r="AD893" s="135"/>
      <c r="AE893" s="135"/>
      <c r="AF893" s="135"/>
      <c r="AG893" s="135"/>
      <c r="AH893" s="135"/>
      <c r="AI893" s="135"/>
      <c r="AJ893" s="135"/>
      <c r="AK893" s="135"/>
      <c r="AL893" s="135"/>
    </row>
    <row r="894" spans="1:38" ht="13.5" thickBot="1" x14ac:dyDescent="0.25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  <c r="AC894" s="135"/>
      <c r="AD894" s="135"/>
      <c r="AE894" s="135"/>
      <c r="AF894" s="135"/>
      <c r="AG894" s="135"/>
      <c r="AH894" s="135"/>
      <c r="AI894" s="135"/>
      <c r="AJ894" s="135"/>
      <c r="AK894" s="135"/>
      <c r="AL894" s="135"/>
    </row>
    <row r="895" spans="1:38" ht="13.5" thickBot="1" x14ac:dyDescent="0.2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  <c r="AC895" s="135"/>
      <c r="AD895" s="135"/>
      <c r="AE895" s="135"/>
      <c r="AF895" s="135"/>
      <c r="AG895" s="135"/>
      <c r="AH895" s="135"/>
      <c r="AI895" s="135"/>
      <c r="AJ895" s="135"/>
      <c r="AK895" s="135"/>
      <c r="AL895" s="135"/>
    </row>
    <row r="896" spans="1:38" ht="13.5" thickBot="1" x14ac:dyDescent="0.25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  <c r="AC896" s="135"/>
      <c r="AD896" s="135"/>
      <c r="AE896" s="135"/>
      <c r="AF896" s="135"/>
      <c r="AG896" s="135"/>
      <c r="AH896" s="135"/>
      <c r="AI896" s="135"/>
      <c r="AJ896" s="135"/>
      <c r="AK896" s="135"/>
      <c r="AL896" s="135"/>
    </row>
    <row r="897" spans="1:38" ht="13.5" thickBot="1" x14ac:dyDescent="0.25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  <c r="AC897" s="135"/>
      <c r="AD897" s="135"/>
      <c r="AE897" s="135"/>
      <c r="AF897" s="135"/>
      <c r="AG897" s="135"/>
      <c r="AH897" s="135"/>
      <c r="AI897" s="135"/>
      <c r="AJ897" s="135"/>
      <c r="AK897" s="135"/>
      <c r="AL897" s="135"/>
    </row>
    <row r="898" spans="1:38" ht="13.5" thickBot="1" x14ac:dyDescent="0.25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  <c r="AC898" s="135"/>
      <c r="AD898" s="135"/>
      <c r="AE898" s="135"/>
      <c r="AF898" s="135"/>
      <c r="AG898" s="135"/>
      <c r="AH898" s="135"/>
      <c r="AI898" s="135"/>
      <c r="AJ898" s="135"/>
      <c r="AK898" s="135"/>
      <c r="AL898" s="135"/>
    </row>
    <row r="899" spans="1:38" ht="13.5" thickBot="1" x14ac:dyDescent="0.25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  <c r="AC899" s="135"/>
      <c r="AD899" s="135"/>
      <c r="AE899" s="135"/>
      <c r="AF899" s="135"/>
      <c r="AG899" s="135"/>
      <c r="AH899" s="135"/>
      <c r="AI899" s="135"/>
      <c r="AJ899" s="135"/>
      <c r="AK899" s="135"/>
      <c r="AL899" s="135"/>
    </row>
    <row r="900" spans="1:38" ht="13.5" thickBot="1" x14ac:dyDescent="0.25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  <c r="AC900" s="135"/>
      <c r="AD900" s="135"/>
      <c r="AE900" s="135"/>
      <c r="AF900" s="135"/>
      <c r="AG900" s="135"/>
      <c r="AH900" s="135"/>
      <c r="AI900" s="135"/>
      <c r="AJ900" s="135"/>
      <c r="AK900" s="135"/>
      <c r="AL900" s="135"/>
    </row>
    <row r="901" spans="1:38" ht="13.5" thickBot="1" x14ac:dyDescent="0.25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  <c r="AC901" s="135"/>
      <c r="AD901" s="135"/>
      <c r="AE901" s="135"/>
      <c r="AF901" s="135"/>
      <c r="AG901" s="135"/>
      <c r="AH901" s="135"/>
      <c r="AI901" s="135"/>
      <c r="AJ901" s="135"/>
      <c r="AK901" s="135"/>
      <c r="AL901" s="135"/>
    </row>
    <row r="902" spans="1:38" ht="13.5" thickBot="1" x14ac:dyDescent="0.25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  <c r="AC902" s="135"/>
      <c r="AD902" s="135"/>
      <c r="AE902" s="135"/>
      <c r="AF902" s="135"/>
      <c r="AG902" s="135"/>
      <c r="AH902" s="135"/>
      <c r="AI902" s="135"/>
      <c r="AJ902" s="135"/>
      <c r="AK902" s="135"/>
      <c r="AL902" s="135"/>
    </row>
    <row r="903" spans="1:38" ht="13.5" thickBot="1" x14ac:dyDescent="0.25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  <c r="AC903" s="135"/>
      <c r="AD903" s="135"/>
      <c r="AE903" s="135"/>
      <c r="AF903" s="135"/>
      <c r="AG903" s="135"/>
      <c r="AH903" s="135"/>
      <c r="AI903" s="135"/>
      <c r="AJ903" s="135"/>
      <c r="AK903" s="135"/>
      <c r="AL903" s="135"/>
    </row>
    <row r="904" spans="1:38" ht="13.5" thickBot="1" x14ac:dyDescent="0.25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  <c r="AC904" s="135"/>
      <c r="AD904" s="135"/>
      <c r="AE904" s="135"/>
      <c r="AF904" s="135"/>
      <c r="AG904" s="135"/>
      <c r="AH904" s="135"/>
      <c r="AI904" s="135"/>
      <c r="AJ904" s="135"/>
      <c r="AK904" s="135"/>
      <c r="AL904" s="135"/>
    </row>
    <row r="905" spans="1:38" ht="13.5" thickBot="1" x14ac:dyDescent="0.2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  <c r="AC905" s="135"/>
      <c r="AD905" s="135"/>
      <c r="AE905" s="135"/>
      <c r="AF905" s="135"/>
      <c r="AG905" s="135"/>
      <c r="AH905" s="135"/>
      <c r="AI905" s="135"/>
      <c r="AJ905" s="135"/>
      <c r="AK905" s="135"/>
      <c r="AL905" s="135"/>
    </row>
    <row r="906" spans="1:38" ht="13.5" thickBot="1" x14ac:dyDescent="0.25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  <c r="AC906" s="135"/>
      <c r="AD906" s="135"/>
      <c r="AE906" s="135"/>
      <c r="AF906" s="135"/>
      <c r="AG906" s="135"/>
      <c r="AH906" s="135"/>
      <c r="AI906" s="135"/>
      <c r="AJ906" s="135"/>
      <c r="AK906" s="135"/>
      <c r="AL906" s="135"/>
    </row>
    <row r="907" spans="1:38" ht="13.5" thickBot="1" x14ac:dyDescent="0.25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  <c r="AC907" s="135"/>
      <c r="AD907" s="135"/>
      <c r="AE907" s="135"/>
      <c r="AF907" s="135"/>
      <c r="AG907" s="135"/>
      <c r="AH907" s="135"/>
      <c r="AI907" s="135"/>
      <c r="AJ907" s="135"/>
      <c r="AK907" s="135"/>
      <c r="AL907" s="135"/>
    </row>
    <row r="908" spans="1:38" ht="13.5" thickBot="1" x14ac:dyDescent="0.25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  <c r="AC908" s="135"/>
      <c r="AD908" s="135"/>
      <c r="AE908" s="135"/>
      <c r="AF908" s="135"/>
      <c r="AG908" s="135"/>
      <c r="AH908" s="135"/>
      <c r="AI908" s="135"/>
      <c r="AJ908" s="135"/>
      <c r="AK908" s="135"/>
      <c r="AL908" s="135"/>
    </row>
    <row r="909" spans="1:38" ht="13.5" thickBot="1" x14ac:dyDescent="0.25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  <c r="AD909" s="135"/>
      <c r="AE909" s="135"/>
      <c r="AF909" s="135"/>
      <c r="AG909" s="135"/>
      <c r="AH909" s="135"/>
      <c r="AI909" s="135"/>
      <c r="AJ909" s="135"/>
      <c r="AK909" s="135"/>
      <c r="AL909" s="135"/>
    </row>
    <row r="910" spans="1:38" ht="13.5" thickBot="1" x14ac:dyDescent="0.25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  <c r="AC910" s="135"/>
      <c r="AD910" s="135"/>
      <c r="AE910" s="135"/>
      <c r="AF910" s="135"/>
      <c r="AG910" s="135"/>
      <c r="AH910" s="135"/>
      <c r="AI910" s="135"/>
      <c r="AJ910" s="135"/>
      <c r="AK910" s="135"/>
      <c r="AL910" s="135"/>
    </row>
    <row r="911" spans="1:38" ht="13.5" thickBot="1" x14ac:dyDescent="0.25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  <c r="AD911" s="135"/>
      <c r="AE911" s="135"/>
      <c r="AF911" s="135"/>
      <c r="AG911" s="135"/>
      <c r="AH911" s="135"/>
      <c r="AI911" s="135"/>
      <c r="AJ911" s="135"/>
      <c r="AK911" s="135"/>
      <c r="AL911" s="135"/>
    </row>
    <row r="912" spans="1:38" ht="13.5" thickBot="1" x14ac:dyDescent="0.25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  <c r="AC912" s="135"/>
      <c r="AD912" s="135"/>
      <c r="AE912" s="135"/>
      <c r="AF912" s="135"/>
      <c r="AG912" s="135"/>
      <c r="AH912" s="135"/>
      <c r="AI912" s="135"/>
      <c r="AJ912" s="135"/>
      <c r="AK912" s="135"/>
      <c r="AL912" s="135"/>
    </row>
    <row r="913" spans="1:38" ht="13.5" thickBot="1" x14ac:dyDescent="0.25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  <c r="AC913" s="135"/>
      <c r="AD913" s="135"/>
      <c r="AE913" s="135"/>
      <c r="AF913" s="135"/>
      <c r="AG913" s="135"/>
      <c r="AH913" s="135"/>
      <c r="AI913" s="135"/>
      <c r="AJ913" s="135"/>
      <c r="AK913" s="135"/>
      <c r="AL913" s="135"/>
    </row>
    <row r="914" spans="1:38" ht="13.5" thickBot="1" x14ac:dyDescent="0.25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  <c r="AC914" s="135"/>
      <c r="AD914" s="135"/>
      <c r="AE914" s="135"/>
      <c r="AF914" s="135"/>
      <c r="AG914" s="135"/>
      <c r="AH914" s="135"/>
      <c r="AI914" s="135"/>
      <c r="AJ914" s="135"/>
      <c r="AK914" s="135"/>
      <c r="AL914" s="135"/>
    </row>
    <row r="915" spans="1:38" ht="13.5" thickBot="1" x14ac:dyDescent="0.2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  <c r="AC915" s="135"/>
      <c r="AD915" s="135"/>
      <c r="AE915" s="135"/>
      <c r="AF915" s="135"/>
      <c r="AG915" s="135"/>
      <c r="AH915" s="135"/>
      <c r="AI915" s="135"/>
      <c r="AJ915" s="135"/>
      <c r="AK915" s="135"/>
      <c r="AL915" s="135"/>
    </row>
    <row r="916" spans="1:38" ht="13.5" thickBot="1" x14ac:dyDescent="0.25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  <c r="AC916" s="135"/>
      <c r="AD916" s="135"/>
      <c r="AE916" s="135"/>
      <c r="AF916" s="135"/>
      <c r="AG916" s="135"/>
      <c r="AH916" s="135"/>
      <c r="AI916" s="135"/>
      <c r="AJ916" s="135"/>
      <c r="AK916" s="135"/>
      <c r="AL916" s="135"/>
    </row>
    <row r="917" spans="1:38" ht="13.5" thickBot="1" x14ac:dyDescent="0.25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  <c r="AC917" s="135"/>
      <c r="AD917" s="135"/>
      <c r="AE917" s="135"/>
      <c r="AF917" s="135"/>
      <c r="AG917" s="135"/>
      <c r="AH917" s="135"/>
      <c r="AI917" s="135"/>
      <c r="AJ917" s="135"/>
      <c r="AK917" s="135"/>
      <c r="AL917" s="135"/>
    </row>
    <row r="918" spans="1:38" ht="13.5" thickBot="1" x14ac:dyDescent="0.25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  <c r="AC918" s="135"/>
      <c r="AD918" s="135"/>
      <c r="AE918" s="135"/>
      <c r="AF918" s="135"/>
      <c r="AG918" s="135"/>
      <c r="AH918" s="135"/>
      <c r="AI918" s="135"/>
      <c r="AJ918" s="135"/>
      <c r="AK918" s="135"/>
      <c r="AL918" s="135"/>
    </row>
    <row r="919" spans="1:38" ht="13.5" thickBot="1" x14ac:dyDescent="0.25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  <c r="AC919" s="135"/>
      <c r="AD919" s="135"/>
      <c r="AE919" s="135"/>
      <c r="AF919" s="135"/>
      <c r="AG919" s="135"/>
      <c r="AH919" s="135"/>
      <c r="AI919" s="135"/>
      <c r="AJ919" s="135"/>
      <c r="AK919" s="135"/>
      <c r="AL919" s="135"/>
    </row>
    <row r="920" spans="1:38" ht="13.5" thickBot="1" x14ac:dyDescent="0.25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  <c r="AC920" s="135"/>
      <c r="AD920" s="135"/>
      <c r="AE920" s="135"/>
      <c r="AF920" s="135"/>
      <c r="AG920" s="135"/>
      <c r="AH920" s="135"/>
      <c r="AI920" s="135"/>
      <c r="AJ920" s="135"/>
      <c r="AK920" s="135"/>
      <c r="AL920" s="135"/>
    </row>
    <row r="921" spans="1:38" ht="13.5" thickBot="1" x14ac:dyDescent="0.25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  <c r="AD921" s="135"/>
      <c r="AE921" s="135"/>
      <c r="AF921" s="135"/>
      <c r="AG921" s="135"/>
      <c r="AH921" s="135"/>
      <c r="AI921" s="135"/>
      <c r="AJ921" s="135"/>
      <c r="AK921" s="135"/>
      <c r="AL921" s="135"/>
    </row>
    <row r="922" spans="1:38" ht="13.5" thickBot="1" x14ac:dyDescent="0.25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  <c r="AC922" s="135"/>
      <c r="AD922" s="135"/>
      <c r="AE922" s="135"/>
      <c r="AF922" s="135"/>
      <c r="AG922" s="135"/>
      <c r="AH922" s="135"/>
      <c r="AI922" s="135"/>
      <c r="AJ922" s="135"/>
      <c r="AK922" s="135"/>
      <c r="AL922" s="135"/>
    </row>
    <row r="923" spans="1:38" ht="13.5" thickBot="1" x14ac:dyDescent="0.25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  <c r="AC923" s="135"/>
      <c r="AD923" s="135"/>
      <c r="AE923" s="135"/>
      <c r="AF923" s="135"/>
      <c r="AG923" s="135"/>
      <c r="AH923" s="135"/>
      <c r="AI923" s="135"/>
      <c r="AJ923" s="135"/>
      <c r="AK923" s="135"/>
      <c r="AL923" s="135"/>
    </row>
    <row r="924" spans="1:38" ht="13.5" thickBot="1" x14ac:dyDescent="0.25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  <c r="AC924" s="135"/>
      <c r="AD924" s="135"/>
      <c r="AE924" s="135"/>
      <c r="AF924" s="135"/>
      <c r="AG924" s="135"/>
      <c r="AH924" s="135"/>
      <c r="AI924" s="135"/>
      <c r="AJ924" s="135"/>
      <c r="AK924" s="135"/>
      <c r="AL924" s="135"/>
    </row>
    <row r="925" spans="1:38" ht="13.5" thickBot="1" x14ac:dyDescent="0.2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  <c r="AC925" s="135"/>
      <c r="AD925" s="135"/>
      <c r="AE925" s="135"/>
      <c r="AF925" s="135"/>
      <c r="AG925" s="135"/>
      <c r="AH925" s="135"/>
      <c r="AI925" s="135"/>
      <c r="AJ925" s="135"/>
      <c r="AK925" s="135"/>
      <c r="AL925" s="135"/>
    </row>
    <row r="926" spans="1:38" ht="13.5" thickBot="1" x14ac:dyDescent="0.25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  <c r="AC926" s="135"/>
      <c r="AD926" s="135"/>
      <c r="AE926" s="135"/>
      <c r="AF926" s="135"/>
      <c r="AG926" s="135"/>
      <c r="AH926" s="135"/>
      <c r="AI926" s="135"/>
      <c r="AJ926" s="135"/>
      <c r="AK926" s="135"/>
      <c r="AL926" s="135"/>
    </row>
    <row r="927" spans="1:38" ht="13.5" thickBot="1" x14ac:dyDescent="0.25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  <c r="AC927" s="135"/>
      <c r="AD927" s="135"/>
      <c r="AE927" s="135"/>
      <c r="AF927" s="135"/>
      <c r="AG927" s="135"/>
      <c r="AH927" s="135"/>
      <c r="AI927" s="135"/>
      <c r="AJ927" s="135"/>
      <c r="AK927" s="135"/>
      <c r="AL927" s="135"/>
    </row>
    <row r="928" spans="1:38" ht="13.5" thickBot="1" x14ac:dyDescent="0.25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  <c r="AC928" s="135"/>
      <c r="AD928" s="135"/>
      <c r="AE928" s="135"/>
      <c r="AF928" s="135"/>
      <c r="AG928" s="135"/>
      <c r="AH928" s="135"/>
      <c r="AI928" s="135"/>
      <c r="AJ928" s="135"/>
      <c r="AK928" s="135"/>
      <c r="AL928" s="135"/>
    </row>
    <row r="929" spans="1:38" ht="13.5" thickBot="1" x14ac:dyDescent="0.25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  <c r="AD929" s="135"/>
      <c r="AE929" s="135"/>
      <c r="AF929" s="135"/>
      <c r="AG929" s="135"/>
      <c r="AH929" s="135"/>
      <c r="AI929" s="135"/>
      <c r="AJ929" s="135"/>
      <c r="AK929" s="135"/>
      <c r="AL929" s="135"/>
    </row>
    <row r="930" spans="1:38" ht="13.5" thickBot="1" x14ac:dyDescent="0.25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  <c r="AC930" s="135"/>
      <c r="AD930" s="135"/>
      <c r="AE930" s="135"/>
      <c r="AF930" s="135"/>
      <c r="AG930" s="135"/>
      <c r="AH930" s="135"/>
      <c r="AI930" s="135"/>
      <c r="AJ930" s="135"/>
      <c r="AK930" s="135"/>
      <c r="AL930" s="135"/>
    </row>
    <row r="931" spans="1:38" ht="13.5" thickBot="1" x14ac:dyDescent="0.25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  <c r="AC931" s="135"/>
      <c r="AD931" s="135"/>
      <c r="AE931" s="135"/>
      <c r="AF931" s="135"/>
      <c r="AG931" s="135"/>
      <c r="AH931" s="135"/>
      <c r="AI931" s="135"/>
      <c r="AJ931" s="135"/>
      <c r="AK931" s="135"/>
      <c r="AL931" s="135"/>
    </row>
    <row r="932" spans="1:38" ht="13.5" thickBot="1" x14ac:dyDescent="0.25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  <c r="AC932" s="135"/>
      <c r="AD932" s="135"/>
      <c r="AE932" s="135"/>
      <c r="AF932" s="135"/>
      <c r="AG932" s="135"/>
      <c r="AH932" s="135"/>
      <c r="AI932" s="135"/>
      <c r="AJ932" s="135"/>
      <c r="AK932" s="135"/>
      <c r="AL932" s="135"/>
    </row>
    <row r="933" spans="1:38" ht="13.5" thickBot="1" x14ac:dyDescent="0.25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  <c r="AC933" s="135"/>
      <c r="AD933" s="135"/>
      <c r="AE933" s="135"/>
      <c r="AF933" s="135"/>
      <c r="AG933" s="135"/>
      <c r="AH933" s="135"/>
      <c r="AI933" s="135"/>
      <c r="AJ933" s="135"/>
      <c r="AK933" s="135"/>
      <c r="AL933" s="135"/>
    </row>
    <row r="934" spans="1:38" ht="13.5" thickBot="1" x14ac:dyDescent="0.25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  <c r="AC934" s="135"/>
      <c r="AD934" s="135"/>
      <c r="AE934" s="135"/>
      <c r="AF934" s="135"/>
      <c r="AG934" s="135"/>
      <c r="AH934" s="135"/>
      <c r="AI934" s="135"/>
      <c r="AJ934" s="135"/>
      <c r="AK934" s="135"/>
      <c r="AL934" s="135"/>
    </row>
    <row r="935" spans="1:38" ht="13.5" thickBot="1" x14ac:dyDescent="0.2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  <c r="AC935" s="135"/>
      <c r="AD935" s="135"/>
      <c r="AE935" s="135"/>
      <c r="AF935" s="135"/>
      <c r="AG935" s="135"/>
      <c r="AH935" s="135"/>
      <c r="AI935" s="135"/>
      <c r="AJ935" s="135"/>
      <c r="AK935" s="135"/>
      <c r="AL935" s="135"/>
    </row>
    <row r="936" spans="1:38" ht="13.5" thickBot="1" x14ac:dyDescent="0.25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5"/>
      <c r="AL936" s="135"/>
    </row>
    <row r="937" spans="1:38" ht="13.5" thickBot="1" x14ac:dyDescent="0.25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  <c r="AC937" s="135"/>
      <c r="AD937" s="135"/>
      <c r="AE937" s="135"/>
      <c r="AF937" s="135"/>
      <c r="AG937" s="135"/>
      <c r="AH937" s="135"/>
      <c r="AI937" s="135"/>
      <c r="AJ937" s="135"/>
      <c r="AK937" s="135"/>
      <c r="AL937" s="135"/>
    </row>
    <row r="938" spans="1:38" ht="13.5" thickBot="1" x14ac:dyDescent="0.25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  <c r="AC938" s="135"/>
      <c r="AD938" s="135"/>
      <c r="AE938" s="135"/>
      <c r="AF938" s="135"/>
      <c r="AG938" s="135"/>
      <c r="AH938" s="135"/>
      <c r="AI938" s="135"/>
      <c r="AJ938" s="135"/>
      <c r="AK938" s="135"/>
      <c r="AL938" s="135"/>
    </row>
    <row r="939" spans="1:38" ht="13.5" thickBot="1" x14ac:dyDescent="0.25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  <c r="AC939" s="135"/>
      <c r="AD939" s="135"/>
      <c r="AE939" s="135"/>
      <c r="AF939" s="135"/>
      <c r="AG939" s="135"/>
      <c r="AH939" s="135"/>
      <c r="AI939" s="135"/>
      <c r="AJ939" s="135"/>
      <c r="AK939" s="135"/>
      <c r="AL939" s="135"/>
    </row>
    <row r="940" spans="1:38" ht="13.5" thickBot="1" x14ac:dyDescent="0.25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  <c r="AC940" s="135"/>
      <c r="AD940" s="135"/>
      <c r="AE940" s="135"/>
      <c r="AF940" s="135"/>
      <c r="AG940" s="135"/>
      <c r="AH940" s="135"/>
      <c r="AI940" s="135"/>
      <c r="AJ940" s="135"/>
      <c r="AK940" s="135"/>
      <c r="AL940" s="135"/>
    </row>
    <row r="941" spans="1:38" ht="13.5" thickBot="1" x14ac:dyDescent="0.25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  <c r="AC941" s="135"/>
      <c r="AD941" s="135"/>
      <c r="AE941" s="135"/>
      <c r="AF941" s="135"/>
      <c r="AG941" s="135"/>
      <c r="AH941" s="135"/>
      <c r="AI941" s="135"/>
      <c r="AJ941" s="135"/>
      <c r="AK941" s="135"/>
      <c r="AL941" s="135"/>
    </row>
    <row r="942" spans="1:38" ht="13.5" thickBot="1" x14ac:dyDescent="0.25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  <c r="AC942" s="135"/>
      <c r="AD942" s="135"/>
      <c r="AE942" s="135"/>
      <c r="AF942" s="135"/>
      <c r="AG942" s="135"/>
      <c r="AH942" s="135"/>
      <c r="AI942" s="135"/>
      <c r="AJ942" s="135"/>
      <c r="AK942" s="135"/>
      <c r="AL942" s="135"/>
    </row>
    <row r="943" spans="1:38" ht="13.5" thickBot="1" x14ac:dyDescent="0.25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  <c r="AC943" s="135"/>
      <c r="AD943" s="135"/>
      <c r="AE943" s="135"/>
      <c r="AF943" s="135"/>
      <c r="AG943" s="135"/>
      <c r="AH943" s="135"/>
      <c r="AI943" s="135"/>
      <c r="AJ943" s="135"/>
      <c r="AK943" s="135"/>
      <c r="AL943" s="135"/>
    </row>
    <row r="944" spans="1:38" ht="13.5" thickBot="1" x14ac:dyDescent="0.25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  <c r="AC944" s="135"/>
      <c r="AD944" s="135"/>
      <c r="AE944" s="135"/>
      <c r="AF944" s="135"/>
      <c r="AG944" s="135"/>
      <c r="AH944" s="135"/>
      <c r="AI944" s="135"/>
      <c r="AJ944" s="135"/>
      <c r="AK944" s="135"/>
      <c r="AL944" s="135"/>
    </row>
    <row r="945" spans="1:38" ht="13.5" thickBot="1" x14ac:dyDescent="0.25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  <c r="AC945" s="135"/>
      <c r="AD945" s="135"/>
      <c r="AE945" s="135"/>
      <c r="AF945" s="135"/>
      <c r="AG945" s="135"/>
      <c r="AH945" s="135"/>
      <c r="AI945" s="135"/>
      <c r="AJ945" s="135"/>
      <c r="AK945" s="135"/>
      <c r="AL945" s="135"/>
    </row>
    <row r="946" spans="1:38" ht="13.5" thickBot="1" x14ac:dyDescent="0.25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  <c r="AC946" s="135"/>
      <c r="AD946" s="135"/>
      <c r="AE946" s="135"/>
      <c r="AF946" s="135"/>
      <c r="AG946" s="135"/>
      <c r="AH946" s="135"/>
      <c r="AI946" s="135"/>
      <c r="AJ946" s="135"/>
      <c r="AK946" s="135"/>
      <c r="AL946" s="135"/>
    </row>
    <row r="947" spans="1:38" ht="13.5" thickBot="1" x14ac:dyDescent="0.25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  <c r="AC947" s="135"/>
      <c r="AD947" s="135"/>
      <c r="AE947" s="135"/>
      <c r="AF947" s="135"/>
      <c r="AG947" s="135"/>
      <c r="AH947" s="135"/>
      <c r="AI947" s="135"/>
      <c r="AJ947" s="135"/>
      <c r="AK947" s="135"/>
      <c r="AL947" s="135"/>
    </row>
    <row r="948" spans="1:38" ht="13.5" thickBot="1" x14ac:dyDescent="0.25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  <c r="AC948" s="135"/>
      <c r="AD948" s="135"/>
      <c r="AE948" s="135"/>
      <c r="AF948" s="135"/>
      <c r="AG948" s="135"/>
      <c r="AH948" s="135"/>
      <c r="AI948" s="135"/>
      <c r="AJ948" s="135"/>
      <c r="AK948" s="135"/>
      <c r="AL948" s="135"/>
    </row>
    <row r="949" spans="1:38" ht="13.5" thickBot="1" x14ac:dyDescent="0.25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5"/>
      <c r="AL949" s="135"/>
    </row>
    <row r="950" spans="1:38" ht="13.5" thickBot="1" x14ac:dyDescent="0.25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  <c r="AC950" s="135"/>
      <c r="AD950" s="135"/>
      <c r="AE950" s="135"/>
      <c r="AF950" s="135"/>
      <c r="AG950" s="135"/>
      <c r="AH950" s="135"/>
      <c r="AI950" s="135"/>
      <c r="AJ950" s="135"/>
      <c r="AK950" s="135"/>
      <c r="AL950" s="135"/>
    </row>
    <row r="951" spans="1:38" ht="13.5" thickBot="1" x14ac:dyDescent="0.25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  <c r="AC951" s="135"/>
      <c r="AD951" s="135"/>
      <c r="AE951" s="135"/>
      <c r="AF951" s="135"/>
      <c r="AG951" s="135"/>
      <c r="AH951" s="135"/>
      <c r="AI951" s="135"/>
      <c r="AJ951" s="135"/>
      <c r="AK951" s="135"/>
      <c r="AL951" s="135"/>
    </row>
    <row r="952" spans="1:38" ht="13.5" thickBot="1" x14ac:dyDescent="0.25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  <c r="AC952" s="135"/>
      <c r="AD952" s="135"/>
      <c r="AE952" s="135"/>
      <c r="AF952" s="135"/>
      <c r="AG952" s="135"/>
      <c r="AH952" s="135"/>
      <c r="AI952" s="135"/>
      <c r="AJ952" s="135"/>
      <c r="AK952" s="135"/>
      <c r="AL952" s="135"/>
    </row>
    <row r="953" spans="1:38" ht="13.5" thickBot="1" x14ac:dyDescent="0.25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  <c r="AC953" s="135"/>
      <c r="AD953" s="135"/>
      <c r="AE953" s="135"/>
      <c r="AF953" s="135"/>
      <c r="AG953" s="135"/>
      <c r="AH953" s="135"/>
      <c r="AI953" s="135"/>
      <c r="AJ953" s="135"/>
      <c r="AK953" s="135"/>
      <c r="AL953" s="135"/>
    </row>
    <row r="954" spans="1:38" ht="13.5" thickBot="1" x14ac:dyDescent="0.25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  <c r="AC954" s="135"/>
      <c r="AD954" s="135"/>
      <c r="AE954" s="135"/>
      <c r="AF954" s="135"/>
      <c r="AG954" s="135"/>
      <c r="AH954" s="135"/>
      <c r="AI954" s="135"/>
      <c r="AJ954" s="135"/>
      <c r="AK954" s="135"/>
      <c r="AL954" s="135"/>
    </row>
    <row r="955" spans="1:38" ht="13.5" thickBot="1" x14ac:dyDescent="0.25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  <c r="AC955" s="135"/>
      <c r="AD955" s="135"/>
      <c r="AE955" s="135"/>
      <c r="AF955" s="135"/>
      <c r="AG955" s="135"/>
      <c r="AH955" s="135"/>
      <c r="AI955" s="135"/>
      <c r="AJ955" s="135"/>
      <c r="AK955" s="135"/>
      <c r="AL955" s="135"/>
    </row>
    <row r="956" spans="1:38" ht="13.5" thickBot="1" x14ac:dyDescent="0.25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  <c r="AC956" s="135"/>
      <c r="AD956" s="135"/>
      <c r="AE956" s="135"/>
      <c r="AF956" s="135"/>
      <c r="AG956" s="135"/>
      <c r="AH956" s="135"/>
      <c r="AI956" s="135"/>
      <c r="AJ956" s="135"/>
      <c r="AK956" s="135"/>
      <c r="AL956" s="135"/>
    </row>
    <row r="957" spans="1:38" ht="13.5" thickBot="1" x14ac:dyDescent="0.25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  <c r="AC957" s="135"/>
      <c r="AD957" s="135"/>
      <c r="AE957" s="135"/>
      <c r="AF957" s="135"/>
      <c r="AG957" s="135"/>
      <c r="AH957" s="135"/>
      <c r="AI957" s="135"/>
      <c r="AJ957" s="135"/>
      <c r="AK957" s="135"/>
      <c r="AL957" s="135"/>
    </row>
    <row r="958" spans="1:38" ht="13.5" thickBot="1" x14ac:dyDescent="0.25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  <c r="AC958" s="135"/>
      <c r="AD958" s="135"/>
      <c r="AE958" s="135"/>
      <c r="AF958" s="135"/>
      <c r="AG958" s="135"/>
      <c r="AH958" s="135"/>
      <c r="AI958" s="135"/>
      <c r="AJ958" s="135"/>
      <c r="AK958" s="135"/>
      <c r="AL958" s="135"/>
    </row>
    <row r="959" spans="1:38" ht="13.5" thickBot="1" x14ac:dyDescent="0.25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  <c r="AC959" s="135"/>
      <c r="AD959" s="135"/>
      <c r="AE959" s="135"/>
      <c r="AF959" s="135"/>
      <c r="AG959" s="135"/>
      <c r="AH959" s="135"/>
      <c r="AI959" s="135"/>
      <c r="AJ959" s="135"/>
      <c r="AK959" s="135"/>
      <c r="AL959" s="135"/>
    </row>
    <row r="960" spans="1:38" ht="13.5" thickBot="1" x14ac:dyDescent="0.25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  <c r="AC960" s="135"/>
      <c r="AD960" s="135"/>
      <c r="AE960" s="135"/>
      <c r="AF960" s="135"/>
      <c r="AG960" s="135"/>
      <c r="AH960" s="135"/>
      <c r="AI960" s="135"/>
      <c r="AJ960" s="135"/>
      <c r="AK960" s="135"/>
      <c r="AL960" s="135"/>
    </row>
    <row r="961" spans="1:38" ht="13.5" thickBot="1" x14ac:dyDescent="0.25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  <c r="AC961" s="135"/>
      <c r="AD961" s="135"/>
      <c r="AE961" s="135"/>
      <c r="AF961" s="135"/>
      <c r="AG961" s="135"/>
      <c r="AH961" s="135"/>
      <c r="AI961" s="135"/>
      <c r="AJ961" s="135"/>
      <c r="AK961" s="135"/>
      <c r="AL961" s="135"/>
    </row>
    <row r="962" spans="1:38" ht="13.5" thickBot="1" x14ac:dyDescent="0.25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  <c r="AC962" s="135"/>
      <c r="AD962" s="135"/>
      <c r="AE962" s="135"/>
      <c r="AF962" s="135"/>
      <c r="AG962" s="135"/>
      <c r="AH962" s="135"/>
      <c r="AI962" s="135"/>
      <c r="AJ962" s="135"/>
      <c r="AK962" s="135"/>
      <c r="AL962" s="135"/>
    </row>
    <row r="963" spans="1:38" ht="13.5" thickBot="1" x14ac:dyDescent="0.25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5"/>
      <c r="AL963" s="135"/>
    </row>
    <row r="964" spans="1:38" ht="13.5" thickBot="1" x14ac:dyDescent="0.25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  <c r="AC964" s="135"/>
      <c r="AD964" s="135"/>
      <c r="AE964" s="135"/>
      <c r="AF964" s="135"/>
      <c r="AG964" s="135"/>
      <c r="AH964" s="135"/>
      <c r="AI964" s="135"/>
      <c r="AJ964" s="135"/>
      <c r="AK964" s="135"/>
      <c r="AL964" s="135"/>
    </row>
    <row r="965" spans="1:38" ht="13.5" thickBot="1" x14ac:dyDescent="0.25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5"/>
      <c r="AL965" s="135"/>
    </row>
    <row r="966" spans="1:38" ht="13.5" thickBot="1" x14ac:dyDescent="0.25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5"/>
      <c r="AL966" s="135"/>
    </row>
    <row r="967" spans="1:38" ht="13.5" thickBot="1" x14ac:dyDescent="0.25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5"/>
      <c r="AL967" s="135"/>
    </row>
    <row r="968" spans="1:38" ht="13.5" thickBot="1" x14ac:dyDescent="0.25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5"/>
      <c r="AL968" s="135"/>
    </row>
    <row r="969" spans="1:38" ht="13.5" thickBot="1" x14ac:dyDescent="0.25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  <c r="AL969" s="135"/>
    </row>
    <row r="970" spans="1:38" ht="13.5" thickBot="1" x14ac:dyDescent="0.25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5"/>
      <c r="AL970" s="135"/>
    </row>
    <row r="971" spans="1:38" ht="13.5" thickBot="1" x14ac:dyDescent="0.25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5"/>
      <c r="AL971" s="135"/>
    </row>
    <row r="972" spans="1:38" ht="13.5" thickBot="1" x14ac:dyDescent="0.25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5"/>
      <c r="AL972" s="135"/>
    </row>
    <row r="973" spans="1:38" ht="13.5" thickBot="1" x14ac:dyDescent="0.25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5"/>
      <c r="AL973" s="135"/>
    </row>
    <row r="974" spans="1:38" ht="13.5" thickBot="1" x14ac:dyDescent="0.25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5"/>
      <c r="AL974" s="135"/>
    </row>
    <row r="975" spans="1:38" ht="13.5" thickBot="1" x14ac:dyDescent="0.25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  <c r="AC975" s="135"/>
      <c r="AD975" s="135"/>
      <c r="AE975" s="135"/>
      <c r="AF975" s="135"/>
      <c r="AG975" s="135"/>
      <c r="AH975" s="135"/>
      <c r="AI975" s="135"/>
      <c r="AJ975" s="135"/>
      <c r="AK975" s="135"/>
      <c r="AL975" s="135"/>
    </row>
    <row r="976" spans="1:38" ht="13.5" thickBot="1" x14ac:dyDescent="0.25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  <c r="AC976" s="135"/>
      <c r="AD976" s="135"/>
      <c r="AE976" s="135"/>
      <c r="AF976" s="135"/>
      <c r="AG976" s="135"/>
      <c r="AH976" s="135"/>
      <c r="AI976" s="135"/>
      <c r="AJ976" s="135"/>
      <c r="AK976" s="135"/>
      <c r="AL976" s="135"/>
    </row>
    <row r="977" spans="1:38" ht="13.5" thickBot="1" x14ac:dyDescent="0.25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  <c r="AC977" s="135"/>
      <c r="AD977" s="135"/>
      <c r="AE977" s="135"/>
      <c r="AF977" s="135"/>
      <c r="AG977" s="135"/>
      <c r="AH977" s="135"/>
      <c r="AI977" s="135"/>
      <c r="AJ977" s="135"/>
      <c r="AK977" s="135"/>
      <c r="AL977" s="135"/>
    </row>
    <row r="978" spans="1:38" ht="13.5" thickBot="1" x14ac:dyDescent="0.25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  <c r="AC978" s="135"/>
      <c r="AD978" s="135"/>
      <c r="AE978" s="135"/>
      <c r="AF978" s="135"/>
      <c r="AG978" s="135"/>
      <c r="AH978" s="135"/>
      <c r="AI978" s="135"/>
      <c r="AJ978" s="135"/>
      <c r="AK978" s="135"/>
      <c r="AL978" s="135"/>
    </row>
    <row r="979" spans="1:38" ht="13.5" thickBot="1" x14ac:dyDescent="0.25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  <c r="AC979" s="135"/>
      <c r="AD979" s="135"/>
      <c r="AE979" s="135"/>
      <c r="AF979" s="135"/>
      <c r="AG979" s="135"/>
      <c r="AH979" s="135"/>
      <c r="AI979" s="135"/>
      <c r="AJ979" s="135"/>
      <c r="AK979" s="135"/>
      <c r="AL979" s="135"/>
    </row>
    <row r="980" spans="1:38" ht="13.5" thickBot="1" x14ac:dyDescent="0.25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  <c r="AC980" s="135"/>
      <c r="AD980" s="135"/>
      <c r="AE980" s="135"/>
      <c r="AF980" s="135"/>
      <c r="AG980" s="135"/>
      <c r="AH980" s="135"/>
      <c r="AI980" s="135"/>
      <c r="AJ980" s="135"/>
      <c r="AK980" s="135"/>
      <c r="AL980" s="135"/>
    </row>
    <row r="981" spans="1:38" ht="13.5" thickBot="1" x14ac:dyDescent="0.25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  <c r="AC981" s="135"/>
      <c r="AD981" s="135"/>
      <c r="AE981" s="135"/>
      <c r="AF981" s="135"/>
      <c r="AG981" s="135"/>
      <c r="AH981" s="135"/>
      <c r="AI981" s="135"/>
      <c r="AJ981" s="135"/>
      <c r="AK981" s="135"/>
      <c r="AL981" s="135"/>
    </row>
    <row r="982" spans="1:38" ht="13.5" thickBot="1" x14ac:dyDescent="0.25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  <c r="AC982" s="135"/>
      <c r="AD982" s="135"/>
      <c r="AE982" s="135"/>
      <c r="AF982" s="135"/>
      <c r="AG982" s="135"/>
      <c r="AH982" s="135"/>
      <c r="AI982" s="135"/>
      <c r="AJ982" s="135"/>
      <c r="AK982" s="135"/>
      <c r="AL982" s="135"/>
    </row>
    <row r="983" spans="1:38" ht="13.5" thickBot="1" x14ac:dyDescent="0.25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  <c r="AC983" s="135"/>
      <c r="AD983" s="135"/>
      <c r="AE983" s="135"/>
      <c r="AF983" s="135"/>
      <c r="AG983" s="135"/>
      <c r="AH983" s="135"/>
      <c r="AI983" s="135"/>
      <c r="AJ983" s="135"/>
      <c r="AK983" s="135"/>
      <c r="AL983" s="135"/>
    </row>
    <row r="984" spans="1:38" ht="13.5" thickBot="1" x14ac:dyDescent="0.25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  <c r="AC984" s="135"/>
      <c r="AD984" s="135"/>
      <c r="AE984" s="135"/>
      <c r="AF984" s="135"/>
      <c r="AG984" s="135"/>
      <c r="AH984" s="135"/>
      <c r="AI984" s="135"/>
      <c r="AJ984" s="135"/>
      <c r="AK984" s="135"/>
      <c r="AL984" s="135"/>
    </row>
    <row r="985" spans="1:38" ht="13.5" thickBot="1" x14ac:dyDescent="0.25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  <c r="AC985" s="135"/>
      <c r="AD985" s="135"/>
      <c r="AE985" s="135"/>
      <c r="AF985" s="135"/>
      <c r="AG985" s="135"/>
      <c r="AH985" s="135"/>
      <c r="AI985" s="135"/>
      <c r="AJ985" s="135"/>
      <c r="AK985" s="135"/>
      <c r="AL985" s="135"/>
    </row>
    <row r="986" spans="1:38" ht="13.5" thickBot="1" x14ac:dyDescent="0.25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  <c r="AC986" s="135"/>
      <c r="AD986" s="135"/>
      <c r="AE986" s="135"/>
      <c r="AF986" s="135"/>
      <c r="AG986" s="135"/>
      <c r="AH986" s="135"/>
      <c r="AI986" s="135"/>
      <c r="AJ986" s="135"/>
      <c r="AK986" s="135"/>
      <c r="AL986" s="135"/>
    </row>
    <row r="987" spans="1:38" ht="13.5" thickBot="1" x14ac:dyDescent="0.25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  <c r="AC987" s="135"/>
      <c r="AD987" s="135"/>
      <c r="AE987" s="135"/>
      <c r="AF987" s="135"/>
      <c r="AG987" s="135"/>
      <c r="AH987" s="135"/>
      <c r="AI987" s="135"/>
      <c r="AJ987" s="135"/>
      <c r="AK987" s="135"/>
      <c r="AL987" s="135"/>
    </row>
    <row r="988" spans="1:38" ht="13.5" thickBot="1" x14ac:dyDescent="0.25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  <c r="AC988" s="135"/>
      <c r="AD988" s="135"/>
      <c r="AE988" s="135"/>
      <c r="AF988" s="135"/>
      <c r="AG988" s="135"/>
      <c r="AH988" s="135"/>
      <c r="AI988" s="135"/>
      <c r="AJ988" s="135"/>
      <c r="AK988" s="135"/>
      <c r="AL988" s="135"/>
    </row>
    <row r="989" spans="1:38" ht="13.5" thickBot="1" x14ac:dyDescent="0.25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  <c r="AL989" s="135"/>
    </row>
    <row r="990" spans="1:38" ht="13.5" thickBot="1" x14ac:dyDescent="0.25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  <c r="AC990" s="135"/>
      <c r="AD990" s="135"/>
      <c r="AE990" s="135"/>
      <c r="AF990" s="135"/>
      <c r="AG990" s="135"/>
      <c r="AH990" s="135"/>
      <c r="AI990" s="135"/>
      <c r="AJ990" s="135"/>
      <c r="AK990" s="135"/>
      <c r="AL990" s="135"/>
    </row>
    <row r="991" spans="1:38" ht="13.5" thickBot="1" x14ac:dyDescent="0.25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  <c r="AD991" s="135"/>
      <c r="AE991" s="135"/>
      <c r="AF991" s="135"/>
      <c r="AG991" s="135"/>
      <c r="AH991" s="135"/>
      <c r="AI991" s="135"/>
      <c r="AJ991" s="135"/>
      <c r="AK991" s="135"/>
      <c r="AL991" s="135"/>
    </row>
    <row r="992" spans="1:38" ht="13.5" thickBot="1" x14ac:dyDescent="0.25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  <c r="AC992" s="135"/>
      <c r="AD992" s="135"/>
      <c r="AE992" s="135"/>
      <c r="AF992" s="135"/>
      <c r="AG992" s="135"/>
      <c r="AH992" s="135"/>
      <c r="AI992" s="135"/>
      <c r="AJ992" s="135"/>
      <c r="AK992" s="135"/>
      <c r="AL992" s="135"/>
    </row>
    <row r="993" spans="1:38" ht="13.5" thickBot="1" x14ac:dyDescent="0.25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  <c r="AB993" s="135"/>
      <c r="AC993" s="135"/>
      <c r="AD993" s="135"/>
      <c r="AE993" s="135"/>
      <c r="AF993" s="135"/>
      <c r="AG993" s="135"/>
      <c r="AH993" s="135"/>
      <c r="AI993" s="135"/>
      <c r="AJ993" s="135"/>
      <c r="AK993" s="135"/>
      <c r="AL993" s="135"/>
    </row>
    <row r="994" spans="1:38" ht="13.5" thickBot="1" x14ac:dyDescent="0.25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  <c r="AC994" s="135"/>
      <c r="AD994" s="135"/>
      <c r="AE994" s="135"/>
      <c r="AF994" s="135"/>
      <c r="AG994" s="135"/>
      <c r="AH994" s="135"/>
      <c r="AI994" s="135"/>
      <c r="AJ994" s="135"/>
      <c r="AK994" s="135"/>
      <c r="AL994" s="135"/>
    </row>
    <row r="995" spans="1:38" ht="13.5" thickBot="1" x14ac:dyDescent="0.25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  <c r="AB995" s="135"/>
      <c r="AC995" s="135"/>
      <c r="AD995" s="135"/>
      <c r="AE995" s="135"/>
      <c r="AF995" s="135"/>
      <c r="AG995" s="135"/>
      <c r="AH995" s="135"/>
      <c r="AI995" s="135"/>
      <c r="AJ995" s="135"/>
      <c r="AK995" s="135"/>
      <c r="AL995" s="135"/>
    </row>
    <row r="996" spans="1:38" ht="13.5" thickBot="1" x14ac:dyDescent="0.25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  <c r="AB996" s="135"/>
      <c r="AC996" s="135"/>
      <c r="AD996" s="135"/>
      <c r="AE996" s="135"/>
      <c r="AF996" s="135"/>
      <c r="AG996" s="135"/>
      <c r="AH996" s="135"/>
      <c r="AI996" s="135"/>
      <c r="AJ996" s="135"/>
      <c r="AK996" s="135"/>
      <c r="AL996" s="135"/>
    </row>
    <row r="997" spans="1:38" ht="13.5" thickBot="1" x14ac:dyDescent="0.25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5"/>
      <c r="AL997" s="135"/>
    </row>
    <row r="998" spans="1:38" ht="13.5" thickBot="1" x14ac:dyDescent="0.25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  <c r="AB998" s="135"/>
      <c r="AC998" s="135"/>
      <c r="AD998" s="135"/>
      <c r="AE998" s="135"/>
      <c r="AF998" s="135"/>
      <c r="AG998" s="135"/>
      <c r="AH998" s="135"/>
      <c r="AI998" s="135"/>
      <c r="AJ998" s="135"/>
      <c r="AK998" s="135"/>
      <c r="AL998" s="135"/>
    </row>
    <row r="999" spans="1:38" ht="13.5" thickBot="1" x14ac:dyDescent="0.25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  <c r="AB999" s="135"/>
      <c r="AC999" s="135"/>
      <c r="AD999" s="135"/>
      <c r="AE999" s="135"/>
      <c r="AF999" s="135"/>
      <c r="AG999" s="135"/>
      <c r="AH999" s="135"/>
      <c r="AI999" s="135"/>
      <c r="AJ999" s="135"/>
      <c r="AK999" s="135"/>
      <c r="AL999" s="135"/>
    </row>
    <row r="1000" spans="1:38" ht="13.5" thickBot="1" x14ac:dyDescent="0.25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  <c r="AB1000" s="135"/>
      <c r="AC1000" s="135"/>
      <c r="AD1000" s="135"/>
      <c r="AE1000" s="135"/>
      <c r="AF1000" s="135"/>
      <c r="AG1000" s="135"/>
      <c r="AH1000" s="135"/>
      <c r="AI1000" s="135"/>
      <c r="AJ1000" s="135"/>
      <c r="AK1000" s="135"/>
      <c r="AL1000" s="135"/>
    </row>
    <row r="1001" spans="1:38" ht="13.5" thickBot="1" x14ac:dyDescent="0.25">
      <c r="A1001" s="135"/>
      <c r="B1001" s="135"/>
      <c r="C1001" s="135"/>
      <c r="D1001" s="135"/>
      <c r="E1001" s="135"/>
      <c r="F1001" s="135"/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  <c r="Y1001" s="135"/>
      <c r="Z1001" s="135"/>
      <c r="AA1001" s="135"/>
      <c r="AB1001" s="135"/>
      <c r="AC1001" s="135"/>
      <c r="AD1001" s="135"/>
      <c r="AE1001" s="135"/>
      <c r="AF1001" s="135"/>
      <c r="AG1001" s="135"/>
      <c r="AH1001" s="135"/>
      <c r="AI1001" s="135"/>
      <c r="AJ1001" s="135"/>
      <c r="AK1001" s="135"/>
      <c r="AL1001" s="135"/>
    </row>
    <row r="1002" spans="1:38" ht="13.5" thickBot="1" x14ac:dyDescent="0.25">
      <c r="A1002" s="135"/>
      <c r="B1002" s="135"/>
      <c r="C1002" s="135"/>
      <c r="D1002" s="135"/>
      <c r="E1002" s="135"/>
      <c r="F1002" s="135"/>
      <c r="G1002" s="135"/>
      <c r="H1002" s="135"/>
      <c r="I1002" s="135"/>
      <c r="J1002" s="135"/>
      <c r="K1002" s="135"/>
      <c r="L1002" s="135"/>
      <c r="M1002" s="135"/>
      <c r="N1002" s="135"/>
      <c r="O1002" s="135"/>
      <c r="P1002" s="135"/>
      <c r="Q1002" s="135"/>
      <c r="R1002" s="135"/>
      <c r="S1002" s="135"/>
      <c r="T1002" s="135"/>
      <c r="U1002" s="135"/>
      <c r="V1002" s="135"/>
      <c r="W1002" s="135"/>
      <c r="X1002" s="135"/>
      <c r="Y1002" s="135"/>
      <c r="Z1002" s="135"/>
      <c r="AA1002" s="135"/>
      <c r="AB1002" s="135"/>
      <c r="AC1002" s="135"/>
      <c r="AD1002" s="135"/>
      <c r="AE1002" s="135"/>
      <c r="AF1002" s="135"/>
      <c r="AG1002" s="135"/>
      <c r="AH1002" s="135"/>
      <c r="AI1002" s="135"/>
      <c r="AJ1002" s="135"/>
      <c r="AK1002" s="135"/>
      <c r="AL1002" s="135"/>
    </row>
    <row r="1003" spans="1:38" ht="13.5" thickBot="1" x14ac:dyDescent="0.25">
      <c r="A1003" s="135"/>
      <c r="B1003" s="135"/>
      <c r="C1003" s="135"/>
      <c r="D1003" s="135"/>
      <c r="E1003" s="135"/>
      <c r="F1003" s="135"/>
      <c r="G1003" s="135"/>
      <c r="H1003" s="135"/>
      <c r="I1003" s="135"/>
      <c r="J1003" s="135"/>
      <c r="K1003" s="135"/>
      <c r="L1003" s="135"/>
      <c r="M1003" s="135"/>
      <c r="N1003" s="135"/>
      <c r="O1003" s="135"/>
      <c r="P1003" s="135"/>
      <c r="Q1003" s="135"/>
      <c r="R1003" s="135"/>
      <c r="S1003" s="135"/>
      <c r="T1003" s="135"/>
      <c r="U1003" s="135"/>
      <c r="V1003" s="135"/>
      <c r="W1003" s="135"/>
      <c r="X1003" s="135"/>
      <c r="Y1003" s="135"/>
      <c r="Z1003" s="135"/>
      <c r="AA1003" s="135"/>
      <c r="AB1003" s="135"/>
      <c r="AC1003" s="135"/>
      <c r="AD1003" s="135"/>
      <c r="AE1003" s="135"/>
      <c r="AF1003" s="135"/>
      <c r="AG1003" s="135"/>
      <c r="AH1003" s="135"/>
      <c r="AI1003" s="135"/>
      <c r="AJ1003" s="135"/>
      <c r="AK1003" s="135"/>
      <c r="AL1003" s="135"/>
    </row>
    <row r="1004" spans="1:38" ht="13.5" thickBot="1" x14ac:dyDescent="0.25">
      <c r="A1004" s="135"/>
      <c r="B1004" s="135"/>
      <c r="C1004" s="135"/>
      <c r="D1004" s="135"/>
      <c r="E1004" s="135"/>
      <c r="F1004" s="135"/>
      <c r="G1004" s="135"/>
      <c r="H1004" s="135"/>
      <c r="I1004" s="135"/>
      <c r="J1004" s="135"/>
      <c r="K1004" s="135"/>
      <c r="L1004" s="135"/>
      <c r="M1004" s="135"/>
      <c r="N1004" s="135"/>
      <c r="O1004" s="135"/>
      <c r="P1004" s="135"/>
      <c r="Q1004" s="135"/>
      <c r="R1004" s="135"/>
      <c r="S1004" s="135"/>
      <c r="T1004" s="135"/>
      <c r="U1004" s="135"/>
      <c r="V1004" s="135"/>
      <c r="W1004" s="135"/>
      <c r="X1004" s="135"/>
      <c r="Y1004" s="135"/>
      <c r="Z1004" s="135"/>
      <c r="AA1004" s="135"/>
      <c r="AB1004" s="135"/>
      <c r="AC1004" s="135"/>
      <c r="AD1004" s="135"/>
      <c r="AE1004" s="135"/>
      <c r="AF1004" s="135"/>
      <c r="AG1004" s="135"/>
      <c r="AH1004" s="135"/>
      <c r="AI1004" s="135"/>
      <c r="AJ1004" s="135"/>
      <c r="AK1004" s="135"/>
      <c r="AL1004" s="135"/>
    </row>
    <row r="1005" spans="1:38" ht="13.5" thickBot="1" x14ac:dyDescent="0.25">
      <c r="A1005" s="135"/>
      <c r="B1005" s="135"/>
      <c r="C1005" s="135"/>
      <c r="D1005" s="135"/>
      <c r="E1005" s="135"/>
      <c r="F1005" s="135"/>
      <c r="G1005" s="135"/>
      <c r="H1005" s="135"/>
      <c r="I1005" s="135"/>
      <c r="J1005" s="135"/>
      <c r="K1005" s="135"/>
      <c r="L1005" s="135"/>
      <c r="M1005" s="135"/>
      <c r="N1005" s="135"/>
      <c r="O1005" s="135"/>
      <c r="P1005" s="135"/>
      <c r="Q1005" s="135"/>
      <c r="R1005" s="135"/>
      <c r="S1005" s="135"/>
      <c r="T1005" s="135"/>
      <c r="U1005" s="135"/>
      <c r="V1005" s="135"/>
      <c r="W1005" s="135"/>
      <c r="X1005" s="135"/>
      <c r="Y1005" s="135"/>
      <c r="Z1005" s="135"/>
      <c r="AA1005" s="135"/>
      <c r="AB1005" s="135"/>
      <c r="AC1005" s="135"/>
      <c r="AD1005" s="135"/>
      <c r="AE1005" s="135"/>
      <c r="AF1005" s="135"/>
      <c r="AG1005" s="135"/>
      <c r="AH1005" s="135"/>
      <c r="AI1005" s="135"/>
      <c r="AJ1005" s="135"/>
      <c r="AK1005" s="135"/>
      <c r="AL1005" s="135"/>
    </row>
    <row r="1006" spans="1:38" ht="13.5" thickBot="1" x14ac:dyDescent="0.25">
      <c r="A1006" s="135"/>
      <c r="B1006" s="135"/>
      <c r="C1006" s="135"/>
      <c r="D1006" s="135"/>
      <c r="E1006" s="135"/>
      <c r="F1006" s="135"/>
      <c r="G1006" s="135"/>
      <c r="H1006" s="135"/>
      <c r="I1006" s="135"/>
      <c r="J1006" s="135"/>
      <c r="K1006" s="135"/>
      <c r="L1006" s="135"/>
      <c r="M1006" s="135"/>
      <c r="N1006" s="135"/>
      <c r="O1006" s="135"/>
      <c r="P1006" s="135"/>
      <c r="Q1006" s="135"/>
      <c r="R1006" s="135"/>
      <c r="S1006" s="135"/>
      <c r="T1006" s="135"/>
      <c r="U1006" s="135"/>
      <c r="V1006" s="135"/>
      <c r="W1006" s="135"/>
      <c r="X1006" s="135"/>
      <c r="Y1006" s="135"/>
      <c r="Z1006" s="135"/>
      <c r="AA1006" s="135"/>
      <c r="AB1006" s="135"/>
      <c r="AC1006" s="135"/>
      <c r="AD1006" s="135"/>
      <c r="AE1006" s="135"/>
      <c r="AF1006" s="135"/>
      <c r="AG1006" s="135"/>
      <c r="AH1006" s="135"/>
      <c r="AI1006" s="135"/>
      <c r="AJ1006" s="135"/>
      <c r="AK1006" s="135"/>
      <c r="AL1006" s="135"/>
    </row>
    <row r="1007" spans="1:38" ht="13.5" thickBot="1" x14ac:dyDescent="0.25">
      <c r="A1007" s="135"/>
      <c r="B1007" s="135"/>
      <c r="C1007" s="135"/>
      <c r="D1007" s="135"/>
      <c r="E1007" s="135"/>
      <c r="F1007" s="135"/>
      <c r="G1007" s="135"/>
      <c r="H1007" s="135"/>
      <c r="I1007" s="135"/>
      <c r="J1007" s="135"/>
      <c r="K1007" s="135"/>
      <c r="L1007" s="135"/>
      <c r="M1007" s="135"/>
      <c r="N1007" s="135"/>
      <c r="O1007" s="135"/>
      <c r="P1007" s="135"/>
      <c r="Q1007" s="135"/>
      <c r="R1007" s="135"/>
      <c r="S1007" s="135"/>
      <c r="T1007" s="135"/>
      <c r="U1007" s="135"/>
      <c r="V1007" s="135"/>
      <c r="W1007" s="135"/>
      <c r="X1007" s="135"/>
      <c r="Y1007" s="135"/>
      <c r="Z1007" s="135"/>
      <c r="AA1007" s="135"/>
      <c r="AB1007" s="135"/>
      <c r="AC1007" s="135"/>
      <c r="AD1007" s="135"/>
      <c r="AE1007" s="135"/>
      <c r="AF1007" s="135"/>
      <c r="AG1007" s="135"/>
      <c r="AH1007" s="135"/>
      <c r="AI1007" s="135"/>
      <c r="AJ1007" s="135"/>
      <c r="AK1007" s="135"/>
      <c r="AL1007" s="135"/>
    </row>
    <row r="1008" spans="1:38" ht="13.5" thickBot="1" x14ac:dyDescent="0.25">
      <c r="A1008" s="135"/>
      <c r="B1008" s="135"/>
      <c r="C1008" s="135"/>
      <c r="D1008" s="135"/>
      <c r="E1008" s="135"/>
      <c r="F1008" s="135"/>
      <c r="G1008" s="135"/>
      <c r="H1008" s="135"/>
      <c r="I1008" s="135"/>
      <c r="J1008" s="135"/>
      <c r="K1008" s="135"/>
      <c r="L1008" s="135"/>
      <c r="M1008" s="135"/>
      <c r="N1008" s="135"/>
      <c r="O1008" s="135"/>
      <c r="P1008" s="135"/>
      <c r="Q1008" s="135"/>
      <c r="R1008" s="135"/>
      <c r="S1008" s="135"/>
      <c r="T1008" s="135"/>
      <c r="U1008" s="135"/>
      <c r="V1008" s="135"/>
      <c r="W1008" s="135"/>
      <c r="X1008" s="135"/>
      <c r="Y1008" s="135"/>
      <c r="Z1008" s="135"/>
      <c r="AA1008" s="135"/>
      <c r="AB1008" s="135"/>
      <c r="AC1008" s="135"/>
      <c r="AD1008" s="135"/>
      <c r="AE1008" s="135"/>
      <c r="AF1008" s="135"/>
      <c r="AG1008" s="135"/>
      <c r="AH1008" s="135"/>
      <c r="AI1008" s="135"/>
      <c r="AJ1008" s="135"/>
      <c r="AK1008" s="135"/>
      <c r="AL1008" s="135"/>
    </row>
  </sheetData>
  <mergeCells count="2">
    <mergeCell ref="B33:C33"/>
    <mergeCell ref="B3:C3"/>
  </mergeCells>
  <phoneticPr fontId="3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2:C68"/>
  <sheetViews>
    <sheetView showGridLines="0" zoomScale="75" zoomScaleNormal="75" workbookViewId="0">
      <pane xSplit="1" ySplit="9" topLeftCell="B34" activePane="bottomRight" state="frozen"/>
      <selection pane="topRight" activeCell="B1" sqref="B1"/>
      <selection pane="bottomLeft" activeCell="A2" sqref="A2"/>
      <selection pane="bottomRight" activeCell="H65" sqref="H65"/>
    </sheetView>
  </sheetViews>
  <sheetFormatPr defaultColWidth="15" defaultRowHeight="15" x14ac:dyDescent="0.2"/>
  <cols>
    <col min="1" max="1" width="56.42578125" style="1" customWidth="1"/>
    <col min="2" max="2" width="33.7109375" style="1" customWidth="1"/>
    <col min="3" max="3" width="22.42578125" style="1" customWidth="1"/>
    <col min="4" max="16384" width="15" style="1"/>
  </cols>
  <sheetData>
    <row r="2" spans="1:3" ht="15.75" x14ac:dyDescent="0.25">
      <c r="A2" s="66" t="s">
        <v>142</v>
      </c>
      <c r="C2" s="78" t="str">
        <f>ТЭПы!C2</f>
        <v>Дербеневская набережная по калькулятору Саевой</v>
      </c>
    </row>
    <row r="3" spans="1:3" ht="15.75" x14ac:dyDescent="0.25">
      <c r="A3" s="66" t="s">
        <v>139</v>
      </c>
      <c r="C3" s="334">
        <f>ТЭПы!C15</f>
        <v>96572</v>
      </c>
    </row>
    <row r="4" spans="1:3" ht="15.75" x14ac:dyDescent="0.25">
      <c r="A4" s="66" t="s">
        <v>86</v>
      </c>
      <c r="C4" s="5"/>
    </row>
    <row r="5" spans="1:3" ht="15.75" x14ac:dyDescent="0.25">
      <c r="A5" s="66" t="s">
        <v>140</v>
      </c>
      <c r="C5" s="5" t="str">
        <f>ТЭПы!C4</f>
        <v>БИЗНЕС</v>
      </c>
    </row>
    <row r="6" spans="1:3" ht="15.75" x14ac:dyDescent="0.25">
      <c r="A6" s="66" t="s">
        <v>146</v>
      </c>
      <c r="C6" s="27" t="str">
        <f>ТЭПы!C6</f>
        <v>3 кв 2025-4 кв 2025</v>
      </c>
    </row>
    <row r="7" spans="1:3" ht="15.75" x14ac:dyDescent="0.25">
      <c r="A7" s="66" t="s">
        <v>145</v>
      </c>
      <c r="B7" s="27" t="str">
        <f>ТЭПы!C7</f>
        <v>4 кв 2025</v>
      </c>
      <c r="C7" s="27" t="str">
        <f>ТЭПы!C10</f>
        <v>30.09.2029;
01.03.2031;
01.07.2031;
01.10.2031</v>
      </c>
    </row>
    <row r="9" spans="1:3" s="8" customFormat="1" ht="15.75" x14ac:dyDescent="0.25">
      <c r="A9" s="84" t="s">
        <v>57</v>
      </c>
      <c r="B9" s="84" t="s">
        <v>6</v>
      </c>
      <c r="C9" s="84" t="s">
        <v>43</v>
      </c>
    </row>
    <row r="10" spans="1:3" ht="15.75" x14ac:dyDescent="0.2">
      <c r="A10" s="9" t="s">
        <v>130</v>
      </c>
      <c r="B10" s="9"/>
      <c r="C10" s="10"/>
    </row>
    <row r="11" spans="1:3" x14ac:dyDescent="0.2">
      <c r="A11" s="11" t="s">
        <v>129</v>
      </c>
      <c r="B11" s="11" t="s">
        <v>45</v>
      </c>
      <c r="C11" s="12">
        <f>ТЭПы!C19</f>
        <v>221967</v>
      </c>
    </row>
    <row r="12" spans="1:3" x14ac:dyDescent="0.2">
      <c r="A12" s="11" t="s">
        <v>134</v>
      </c>
      <c r="B12" s="11" t="s">
        <v>45</v>
      </c>
      <c r="C12" s="12"/>
    </row>
    <row r="13" spans="1:3" x14ac:dyDescent="0.2">
      <c r="A13" s="11" t="s">
        <v>133</v>
      </c>
      <c r="B13" s="11" t="s">
        <v>45</v>
      </c>
      <c r="C13" s="12">
        <f>ТЭПы!E38</f>
        <v>189176.978</v>
      </c>
    </row>
    <row r="14" spans="1:3" x14ac:dyDescent="0.2">
      <c r="A14" s="4" t="s">
        <v>88</v>
      </c>
      <c r="B14" s="11" t="s">
        <v>45</v>
      </c>
      <c r="C14" s="12">
        <f>ТЭПы!C22</f>
        <v>143560</v>
      </c>
    </row>
    <row r="15" spans="1:3" x14ac:dyDescent="0.2">
      <c r="A15" s="4" t="s">
        <v>89</v>
      </c>
      <c r="B15" s="11" t="s">
        <v>45</v>
      </c>
      <c r="C15" s="12">
        <f>ТЭПы!E48</f>
        <v>10322</v>
      </c>
    </row>
    <row r="16" spans="1:3" x14ac:dyDescent="0.2">
      <c r="A16" s="4" t="s">
        <v>90</v>
      </c>
      <c r="B16" s="11" t="s">
        <v>128</v>
      </c>
      <c r="C16" s="12">
        <f>ТЭПы!E50</f>
        <v>0</v>
      </c>
    </row>
    <row r="17" spans="1:3" x14ac:dyDescent="0.2">
      <c r="A17" s="4" t="s">
        <v>131</v>
      </c>
      <c r="B17" s="11" t="s">
        <v>128</v>
      </c>
      <c r="C17" s="12">
        <f>ТЭПы!F49</f>
        <v>862</v>
      </c>
    </row>
    <row r="18" spans="1:3" ht="15.75" x14ac:dyDescent="0.25">
      <c r="A18" s="84"/>
      <c r="B18" s="84"/>
      <c r="C18" s="84"/>
    </row>
    <row r="19" spans="1:3" ht="15.75" x14ac:dyDescent="0.25">
      <c r="A19" s="50" t="s">
        <v>44</v>
      </c>
      <c r="B19" s="50" t="s">
        <v>126</v>
      </c>
      <c r="C19" s="86">
        <f>'CF1 '!C15</f>
        <v>117514091710.13669</v>
      </c>
    </row>
    <row r="20" spans="1:3" ht="15.75" x14ac:dyDescent="0.2">
      <c r="A20" s="13" t="s">
        <v>41</v>
      </c>
      <c r="B20" s="14"/>
      <c r="C20" s="10"/>
    </row>
    <row r="21" spans="1:3" x14ac:dyDescent="0.2">
      <c r="A21" s="4" t="s">
        <v>46</v>
      </c>
      <c r="B21" s="13" t="s">
        <v>127</v>
      </c>
      <c r="C21" s="16">
        <f>ТЭПы!G44</f>
        <v>497703</v>
      </c>
    </row>
    <row r="22" spans="1:3" x14ac:dyDescent="0.2">
      <c r="A22" s="89" t="s">
        <v>141</v>
      </c>
      <c r="B22" s="90" t="s">
        <v>127</v>
      </c>
      <c r="C22" s="91"/>
    </row>
    <row r="23" spans="1:3" x14ac:dyDescent="0.2">
      <c r="A23" s="4" t="s">
        <v>47</v>
      </c>
      <c r="B23" s="13" t="s">
        <v>127</v>
      </c>
      <c r="C23" s="16">
        <f>'План продаж'!D65</f>
        <v>656708.53881268087</v>
      </c>
    </row>
    <row r="24" spans="1:3" x14ac:dyDescent="0.2">
      <c r="A24" s="4" t="s">
        <v>48</v>
      </c>
      <c r="B24" s="13" t="s">
        <v>127</v>
      </c>
      <c r="C24" s="16">
        <f>'План продаж'!D66</f>
        <v>573799.03196311428</v>
      </c>
    </row>
    <row r="25" spans="1:3" x14ac:dyDescent="0.2">
      <c r="A25" s="13" t="s">
        <v>49</v>
      </c>
      <c r="B25" s="11" t="s">
        <v>45</v>
      </c>
      <c r="C25" s="16">
        <f>'План продаж'!D67</f>
        <v>5166.7978666666668</v>
      </c>
    </row>
    <row r="26" spans="1:3" x14ac:dyDescent="0.2">
      <c r="A26" s="13" t="s">
        <v>50</v>
      </c>
      <c r="B26" s="13" t="s">
        <v>51</v>
      </c>
      <c r="C26" s="100">
        <f>COUNTIF('План продаж'!E26:AM26,"&gt;0")</f>
        <v>32</v>
      </c>
    </row>
    <row r="27" spans="1:3" ht="15.75" x14ac:dyDescent="0.25">
      <c r="A27" s="50" t="s">
        <v>0</v>
      </c>
      <c r="B27" s="50" t="s">
        <v>126</v>
      </c>
      <c r="C27" s="86">
        <f>SUM(C28:C32)</f>
        <v>76888564375.779007</v>
      </c>
    </row>
    <row r="28" spans="1:3" x14ac:dyDescent="0.2">
      <c r="A28" s="343" t="str">
        <f>'CF1 '!A20</f>
        <v>Вход в проект</v>
      </c>
      <c r="B28" s="343" t="s">
        <v>126</v>
      </c>
      <c r="C28" s="344">
        <f>'CF1 '!C20</f>
        <v>1330355898</v>
      </c>
    </row>
    <row r="29" spans="1:3" x14ac:dyDescent="0.2">
      <c r="A29" s="345" t="str">
        <f>'CF1 '!A23</f>
        <v>Земельно-имущественные отношения</v>
      </c>
      <c r="B29" s="343" t="s">
        <v>135</v>
      </c>
      <c r="C29" s="344">
        <f>'CF1 '!C23</f>
        <v>1934959525.2729974</v>
      </c>
    </row>
    <row r="30" spans="1:3" x14ac:dyDescent="0.2">
      <c r="A30" s="343" t="str">
        <f>'CF1 '!A27</f>
        <v>ПИР и ИРД</v>
      </c>
      <c r="B30" s="343" t="s">
        <v>126</v>
      </c>
      <c r="C30" s="344">
        <f>'CF1 '!C27</f>
        <v>2013174659.6599998</v>
      </c>
    </row>
    <row r="31" spans="1:3" x14ac:dyDescent="0.2">
      <c r="A31" s="343" t="str">
        <f>'CF1 '!A40</f>
        <v>САРЕХ</v>
      </c>
      <c r="B31" s="343" t="s">
        <v>126</v>
      </c>
      <c r="C31" s="344">
        <f>'CF1 '!C40</f>
        <v>64742337663.776535</v>
      </c>
    </row>
    <row r="32" spans="1:3" x14ac:dyDescent="0.2">
      <c r="A32" s="343" t="str">
        <f>'CF1 '!A77</f>
        <v>ОРЕХ</v>
      </c>
      <c r="B32" s="343" t="s">
        <v>126</v>
      </c>
      <c r="C32" s="344">
        <f>'CF1 '!C77</f>
        <v>6867736629.0694799</v>
      </c>
    </row>
    <row r="33" spans="1:3" ht="15.75" x14ac:dyDescent="0.25">
      <c r="A33" s="50" t="s">
        <v>52</v>
      </c>
      <c r="B33" s="50" t="s">
        <v>126</v>
      </c>
      <c r="C33" s="86">
        <f>C19-C27</f>
        <v>40625527334.357681</v>
      </c>
    </row>
    <row r="34" spans="1:3" x14ac:dyDescent="0.2">
      <c r="A34" s="15" t="s">
        <v>53</v>
      </c>
      <c r="B34" s="15" t="s">
        <v>7</v>
      </c>
      <c r="C34" s="17">
        <f>C33/C19</f>
        <v>0.34570770826843183</v>
      </c>
    </row>
    <row r="35" spans="1:3" s="94" customFormat="1" x14ac:dyDescent="0.2">
      <c r="A35" s="92" t="s">
        <v>1</v>
      </c>
      <c r="B35" s="92" t="s">
        <v>126</v>
      </c>
      <c r="C35" s="93">
        <f>'CF1 '!C81</f>
        <v>6745096232.7167206</v>
      </c>
    </row>
    <row r="36" spans="1:3" ht="15.75" x14ac:dyDescent="0.25">
      <c r="A36" s="50" t="s">
        <v>54</v>
      </c>
      <c r="B36" s="50" t="s">
        <v>126</v>
      </c>
      <c r="C36" s="86">
        <f>'CF1 '!C98</f>
        <v>-81180073239.169403</v>
      </c>
    </row>
    <row r="37" spans="1:3" s="94" customFormat="1" x14ac:dyDescent="0.2">
      <c r="A37" s="92" t="s">
        <v>147</v>
      </c>
      <c r="B37" s="92" t="s">
        <v>126</v>
      </c>
      <c r="C37" s="93">
        <f>-'CF1 '!C107</f>
        <v>14386244380.858557</v>
      </c>
    </row>
    <row r="38" spans="1:3" x14ac:dyDescent="0.2">
      <c r="A38" s="15" t="s">
        <v>55</v>
      </c>
      <c r="B38" s="15" t="s">
        <v>51</v>
      </c>
      <c r="C38" s="341">
        <f>COUNTIF('CF1 '!F98:AS98,"&gt;0")</f>
        <v>0</v>
      </c>
    </row>
    <row r="39" spans="1:3" x14ac:dyDescent="0.2">
      <c r="A39" s="15" t="s">
        <v>309</v>
      </c>
      <c r="B39" s="15" t="s">
        <v>126</v>
      </c>
      <c r="C39" s="102">
        <f>'CF1 '!C132</f>
        <v>8323714721.4358091</v>
      </c>
    </row>
    <row r="40" spans="1:3" ht="15.75" x14ac:dyDescent="0.25">
      <c r="A40" s="50" t="s">
        <v>56</v>
      </c>
      <c r="B40" s="50"/>
      <c r="C40" s="86">
        <f>C33-(C35+C37)</f>
        <v>19494186720.782402</v>
      </c>
    </row>
    <row r="41" spans="1:3" x14ac:dyDescent="0.2">
      <c r="A41" s="15" t="s">
        <v>310</v>
      </c>
      <c r="B41" s="15" t="s">
        <v>126</v>
      </c>
      <c r="C41" s="16">
        <f>'CF1 '!C138</f>
        <v>48267074639.063385</v>
      </c>
    </row>
    <row r="42" spans="1:3" x14ac:dyDescent="0.2">
      <c r="A42" s="94" t="s">
        <v>148</v>
      </c>
      <c r="B42" s="94"/>
      <c r="C42" s="95">
        <f>C19-C27-C35-C37</f>
        <v>19494186720.782402</v>
      </c>
    </row>
    <row r="43" spans="1:3" x14ac:dyDescent="0.2">
      <c r="A43" s="15" t="s">
        <v>307</v>
      </c>
      <c r="B43" s="15" t="s">
        <v>7</v>
      </c>
      <c r="C43" s="17">
        <f>C40/C19</f>
        <v>0.16588807722623827</v>
      </c>
    </row>
    <row r="44" spans="1:3" x14ac:dyDescent="0.2">
      <c r="A44" s="15" t="s">
        <v>304</v>
      </c>
      <c r="B44" s="15"/>
      <c r="C44" s="17">
        <f>C40/(C27+C35+C37)</f>
        <v>0.19887987774421553</v>
      </c>
    </row>
    <row r="45" spans="1:3" x14ac:dyDescent="0.2">
      <c r="A45" s="15" t="s">
        <v>308</v>
      </c>
      <c r="B45" s="15" t="s">
        <v>7</v>
      </c>
      <c r="C45" s="17">
        <f>C39/C41</f>
        <v>0.17245119543042042</v>
      </c>
    </row>
    <row r="46" spans="1:3" x14ac:dyDescent="0.2">
      <c r="A46" s="15" t="s">
        <v>42</v>
      </c>
      <c r="B46" s="15" t="s">
        <v>7</v>
      </c>
      <c r="C46" s="17">
        <f>MAX('CF1 '!F144:AS144)</f>
        <v>0</v>
      </c>
    </row>
    <row r="47" spans="1:3" x14ac:dyDescent="0.2">
      <c r="A47" s="15"/>
      <c r="B47" s="15"/>
      <c r="C47" s="15"/>
    </row>
    <row r="50" spans="1:3" x14ac:dyDescent="0.2">
      <c r="A50" s="353"/>
      <c r="B50" s="353"/>
      <c r="C50" s="354">
        <f>(C27+C35+C37)/C13</f>
        <v>518138.6552720716</v>
      </c>
    </row>
    <row r="51" spans="1:3" x14ac:dyDescent="0.2">
      <c r="A51" s="353"/>
      <c r="B51" s="353"/>
      <c r="C51" s="355">
        <f>('CF1 '!C138+'CF1 '!C98-'CF1 '!C107)/('CF1 '!C98-'CF1 '!C107)</f>
        <v>0.27737224435131724</v>
      </c>
    </row>
    <row r="52" spans="1:3" ht="18" x14ac:dyDescent="0.25">
      <c r="A52" s="353" t="s">
        <v>149</v>
      </c>
      <c r="B52" s="353"/>
      <c r="C52" s="356">
        <f>('CF1 '!C138+'CF1 '!C98-'CF1 '!C107)/('CF1 '!C98-'CF1 '!C107)</f>
        <v>0.27737224435131724</v>
      </c>
    </row>
    <row r="53" spans="1:3" x14ac:dyDescent="0.2">
      <c r="A53" s="353"/>
      <c r="B53" s="353"/>
      <c r="C53" s="353"/>
    </row>
    <row r="54" spans="1:3" x14ac:dyDescent="0.2">
      <c r="A54" s="111" t="s">
        <v>159</v>
      </c>
      <c r="B54" s="111"/>
      <c r="C54" s="111"/>
    </row>
    <row r="55" spans="1:3" x14ac:dyDescent="0.2">
      <c r="A55" s="111" t="s">
        <v>160</v>
      </c>
      <c r="B55" s="111"/>
      <c r="C55" s="111"/>
    </row>
    <row r="56" spans="1:3" x14ac:dyDescent="0.2">
      <c r="A56" s="111" t="s">
        <v>155</v>
      </c>
      <c r="B56" s="111"/>
      <c r="C56" s="111"/>
    </row>
    <row r="57" spans="1:3" ht="15.75" x14ac:dyDescent="0.25">
      <c r="A57" s="112" t="s">
        <v>158</v>
      </c>
      <c r="B57" s="112"/>
      <c r="C57" s="113">
        <f>'CF1 '!D148</f>
        <v>48267074639.063385</v>
      </c>
    </row>
    <row r="58" spans="1:3" ht="15.75" x14ac:dyDescent="0.25">
      <c r="A58" s="112" t="s">
        <v>161</v>
      </c>
      <c r="B58" s="112"/>
      <c r="C58" s="114">
        <f>'CF1 '!D150</f>
        <v>3.3550851328012024</v>
      </c>
    </row>
    <row r="59" spans="1:3" x14ac:dyDescent="0.2">
      <c r="A59" s="111"/>
      <c r="B59" s="111"/>
      <c r="C59" s="111"/>
    </row>
    <row r="60" spans="1:3" x14ac:dyDescent="0.2">
      <c r="A60" s="132"/>
      <c r="B60" s="132"/>
      <c r="C60" s="132"/>
    </row>
    <row r="61" spans="1:3" x14ac:dyDescent="0.2">
      <c r="A61" s="132" t="str">
        <f>'CF1 '!A152</f>
        <v xml:space="preserve">Альтернативный подход Банков </v>
      </c>
      <c r="B61" s="132"/>
      <c r="C61" s="132"/>
    </row>
    <row r="62" spans="1:3" x14ac:dyDescent="0.2">
      <c r="A62" s="132" t="str">
        <f>'CF1 '!A153</f>
        <v xml:space="preserve">Выручка минус налоги </v>
      </c>
      <c r="B62" s="132"/>
      <c r="C62" s="53">
        <f>'CF1 '!D153</f>
        <v>124259187942.85341</v>
      </c>
    </row>
    <row r="63" spans="1:3" x14ac:dyDescent="0.2">
      <c r="A63" s="132" t="str">
        <f>'CF1 '!A154</f>
        <v>Общий долг (выборка + %)</v>
      </c>
      <c r="B63" s="132"/>
      <c r="C63" s="53">
        <f>'CF1 '!D154</f>
        <v>66793828858.310844</v>
      </c>
    </row>
    <row r="64" spans="1:3" ht="15.75" x14ac:dyDescent="0.25">
      <c r="A64" s="133" t="str">
        <f>'CF1 '!A155</f>
        <v>Коэффициент покрытие долговых обязательств LLCR</v>
      </c>
      <c r="B64" s="133"/>
      <c r="C64" s="134">
        <f>'CF1 '!D155</f>
        <v>1.8603393467148488</v>
      </c>
    </row>
    <row r="65" spans="1:3" x14ac:dyDescent="0.2">
      <c r="A65" s="132" t="s">
        <v>166</v>
      </c>
      <c r="B65" s="132"/>
      <c r="C65" s="132"/>
    </row>
    <row r="66" spans="1:3" x14ac:dyDescent="0.2">
      <c r="A66" s="132"/>
      <c r="B66" s="132"/>
      <c r="C66" s="132"/>
    </row>
    <row r="67" spans="1:3" x14ac:dyDescent="0.2">
      <c r="A67" s="132"/>
      <c r="B67" s="132"/>
      <c r="C67" s="132"/>
    </row>
    <row r="68" spans="1:3" x14ac:dyDescent="0.2">
      <c r="A68" s="132"/>
      <c r="B68" s="132"/>
      <c r="C68" s="132"/>
    </row>
  </sheetData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ТЭПы</vt:lpstr>
      <vt:lpstr>Бюджет </vt:lpstr>
      <vt:lpstr>CF1 </vt:lpstr>
      <vt:lpstr>План продаж</vt:lpstr>
      <vt:lpstr>Эскроу</vt:lpstr>
      <vt:lpstr>Dashboard</vt:lpstr>
      <vt:lpstr>Dashboard!Область_печати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Kochuev Artur</dc:creator>
  <cp:lastModifiedBy>Кудрина Татьяна Раисовна</cp:lastModifiedBy>
  <cp:lastPrinted>2026-05-07T08:54:16Z</cp:lastPrinted>
  <dcterms:created xsi:type="dcterms:W3CDTF">2025-11-01T14:49:37Z</dcterms:created>
  <dcterms:modified xsi:type="dcterms:W3CDTF">2026-09-24T15:16:59Z</dcterms:modified>
</cp:coreProperties>
</file>